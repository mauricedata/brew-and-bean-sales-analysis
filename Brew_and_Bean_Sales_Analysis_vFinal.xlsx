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omePC\Desktop\img\"/>
    </mc:Choice>
  </mc:AlternateContent>
  <xr:revisionPtr revIDLastSave="0" documentId="8_{1AC05F4F-98C3-4E1C-BF6C-66D1F5D0A6C1}" xr6:coauthVersionLast="47" xr6:coauthVersionMax="47" xr10:uidLastSave="{00000000-0000-0000-0000-000000000000}"/>
  <bookViews>
    <workbookView xWindow="-110" yWindow="-110" windowWidth="19420" windowHeight="10300" activeTab="1" xr2:uid="{85AF41E2-4796-4B3C-8788-F68926CEB267}"/>
  </bookViews>
  <sheets>
    <sheet name="Summary_Analysis" sheetId="4" r:id="rId1"/>
    <sheet name="Transactions_Clean" sheetId="3" r:id="rId2"/>
    <sheet name="Transactions_Raw" sheetId="1" r:id="rId3"/>
    <sheet name="Product_Catalog" sheetId="2" r:id="rId4"/>
  </sheets>
  <definedNames>
    <definedName name="_xlnm._FilterDatabase" localSheetId="1" hidden="1">Transactions_Clean!$D$1:$D$41</definedName>
    <definedName name="Slicer_Category">#N/A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3" l="1"/>
  <c r="K2" i="3" a="1"/>
  <c r="K2" i="3" s="1"/>
  <c r="K3" i="3" a="1"/>
  <c r="K3" i="3" s="1"/>
  <c r="K4" i="3" a="1"/>
  <c r="K4" i="3" s="1"/>
  <c r="K5" i="3" a="1"/>
  <c r="K5" i="3" s="1"/>
  <c r="K6" i="3" a="1"/>
  <c r="K6" i="3" s="1"/>
  <c r="K7" i="3" a="1"/>
  <c r="K7" i="3" s="1"/>
  <c r="K8" i="3" a="1"/>
  <c r="K8" i="3" s="1"/>
  <c r="K9" i="3" a="1"/>
  <c r="K9" i="3" s="1"/>
  <c r="K10" i="3" a="1"/>
  <c r="K10" i="3" s="1"/>
  <c r="K11" i="3" a="1"/>
  <c r="K11" i="3" s="1"/>
  <c r="K12" i="3" a="1"/>
  <c r="K12" i="3" s="1"/>
  <c r="K13" i="3" a="1"/>
  <c r="K13" i="3" s="1"/>
  <c r="K14" i="3" a="1"/>
  <c r="K14" i="3" s="1"/>
  <c r="K15" i="3" a="1"/>
  <c r="K15" i="3" s="1"/>
  <c r="K16" i="3" a="1"/>
  <c r="K16" i="3" s="1"/>
  <c r="K17" i="3" a="1"/>
  <c r="K17" i="3" s="1"/>
  <c r="K18" i="3" a="1"/>
  <c r="K18" i="3" s="1"/>
  <c r="K19" i="3" a="1"/>
  <c r="K19" i="3" s="1"/>
  <c r="K20" i="3" a="1"/>
  <c r="K20" i="3" s="1"/>
  <c r="K21" i="3" a="1"/>
  <c r="K21" i="3" s="1"/>
  <c r="K22" i="3" a="1"/>
  <c r="K22" i="3" s="1"/>
  <c r="K23" i="3" a="1"/>
  <c r="K23" i="3" s="1"/>
  <c r="K24" i="3" a="1"/>
  <c r="K24" i="3" s="1"/>
  <c r="K25" i="3" a="1"/>
  <c r="K25" i="3" s="1"/>
  <c r="K26" i="3" a="1"/>
  <c r="K26" i="3" s="1"/>
  <c r="K27" i="3" a="1"/>
  <c r="K27" i="3" s="1"/>
  <c r="K28" i="3" a="1"/>
  <c r="K28" i="3" s="1"/>
  <c r="K29" i="3" a="1"/>
  <c r="K29" i="3" s="1"/>
  <c r="K30" i="3" a="1"/>
  <c r="K30" i="3" s="1"/>
  <c r="K31" i="3" a="1"/>
  <c r="K31" i="3" s="1"/>
  <c r="K32" i="3" a="1"/>
  <c r="K32" i="3" s="1"/>
  <c r="K33" i="3" a="1"/>
  <c r="K33" i="3" s="1"/>
  <c r="K34" i="3" a="1"/>
  <c r="K34" i="3" s="1"/>
  <c r="K35" i="3" a="1"/>
  <c r="K35" i="3" s="1"/>
  <c r="K36" i="3" a="1"/>
  <c r="K36" i="3" s="1"/>
  <c r="K37" i="3" a="1"/>
  <c r="K37" i="3" s="1"/>
  <c r="K38" i="3" a="1"/>
  <c r="K38" i="3" s="1"/>
  <c r="K39" i="3" a="1"/>
  <c r="K39" i="3" s="1"/>
  <c r="K40" i="3" a="1"/>
  <c r="K40" i="3" s="1"/>
  <c r="K41" i="3" a="1"/>
  <c r="K41" i="3" s="1"/>
  <c r="J2" i="3"/>
  <c r="M2" i="3" s="1"/>
  <c r="J3" i="3"/>
  <c r="M3" i="3" s="1"/>
  <c r="J4" i="3"/>
  <c r="M4" i="3" s="1"/>
  <c r="J5" i="3"/>
  <c r="M5" i="3" s="1"/>
  <c r="J6" i="3"/>
  <c r="M6" i="3" s="1"/>
  <c r="J7" i="3"/>
  <c r="M7" i="3" s="1"/>
  <c r="J8" i="3"/>
  <c r="M8" i="3" s="1"/>
  <c r="J9" i="3"/>
  <c r="M9" i="3" s="1"/>
  <c r="J10" i="3"/>
  <c r="M10" i="3" s="1"/>
  <c r="J11" i="3"/>
  <c r="M11" i="3" s="1"/>
  <c r="J12" i="3"/>
  <c r="M12" i="3" s="1"/>
  <c r="J13" i="3"/>
  <c r="M13" i="3" s="1"/>
  <c r="J14" i="3"/>
  <c r="M14" i="3" s="1"/>
  <c r="J15" i="3"/>
  <c r="M15" i="3" s="1"/>
  <c r="J16" i="3"/>
  <c r="M16" i="3" s="1"/>
  <c r="J17" i="3"/>
  <c r="M17" i="3" s="1"/>
  <c r="J18" i="3"/>
  <c r="M18" i="3" s="1"/>
  <c r="J19" i="3"/>
  <c r="M19" i="3" s="1"/>
  <c r="J20" i="3"/>
  <c r="M20" i="3" s="1"/>
  <c r="J21" i="3"/>
  <c r="M21" i="3" s="1"/>
  <c r="J22" i="3"/>
  <c r="M22" i="3" s="1"/>
  <c r="J23" i="3"/>
  <c r="M23" i="3" s="1"/>
  <c r="J24" i="3"/>
  <c r="M24" i="3" s="1"/>
  <c r="J25" i="3"/>
  <c r="M25" i="3" s="1"/>
  <c r="J26" i="3"/>
  <c r="M26" i="3" s="1"/>
  <c r="J27" i="3"/>
  <c r="M27" i="3" s="1"/>
  <c r="J28" i="3"/>
  <c r="M28" i="3" s="1"/>
  <c r="J29" i="3"/>
  <c r="M29" i="3" s="1"/>
  <c r="J30" i="3"/>
  <c r="M30" i="3" s="1"/>
  <c r="J31" i="3"/>
  <c r="M31" i="3" s="1"/>
  <c r="J32" i="3"/>
  <c r="M32" i="3" s="1"/>
  <c r="J33" i="3"/>
  <c r="M33" i="3" s="1"/>
  <c r="J34" i="3"/>
  <c r="M34" i="3" s="1"/>
  <c r="J35" i="3"/>
  <c r="M35" i="3" s="1"/>
  <c r="J36" i="3"/>
  <c r="M36" i="3" s="1"/>
  <c r="J37" i="3"/>
  <c r="M37" i="3" s="1"/>
  <c r="J38" i="3"/>
  <c r="M38" i="3" s="1"/>
  <c r="J39" i="3"/>
  <c r="M39" i="3" s="1"/>
  <c r="J40" i="3"/>
  <c r="M40" i="3" s="1"/>
  <c r="J41" i="3"/>
  <c r="M41" i="3" s="1"/>
  <c r="I2" i="3"/>
  <c r="I3" i="3"/>
  <c r="L3" i="3" s="1"/>
  <c r="N3" i="3" s="1"/>
  <c r="O3" i="3" s="1"/>
  <c r="I4" i="3"/>
  <c r="L4" i="3" s="1"/>
  <c r="N4" i="3" s="1"/>
  <c r="I5" i="3"/>
  <c r="I6" i="3"/>
  <c r="I7" i="3"/>
  <c r="L7" i="3" s="1"/>
  <c r="N7" i="3" s="1"/>
  <c r="O7" i="3" s="1"/>
  <c r="I8" i="3"/>
  <c r="L8" i="3" s="1"/>
  <c r="N8" i="3" s="1"/>
  <c r="O8" i="3" s="1"/>
  <c r="I9" i="3"/>
  <c r="I10" i="3"/>
  <c r="I11" i="3"/>
  <c r="L11" i="3" s="1"/>
  <c r="N11" i="3" s="1"/>
  <c r="O11" i="3" s="1"/>
  <c r="I12" i="3"/>
  <c r="L12" i="3" s="1"/>
  <c r="N12" i="3" s="1"/>
  <c r="O12" i="3" s="1"/>
  <c r="I13" i="3"/>
  <c r="I14" i="3"/>
  <c r="I15" i="3"/>
  <c r="L15" i="3" s="1"/>
  <c r="N15" i="3" s="1"/>
  <c r="O15" i="3" s="1"/>
  <c r="I16" i="3"/>
  <c r="L16" i="3" s="1"/>
  <c r="N16" i="3" s="1"/>
  <c r="O16" i="3" s="1"/>
  <c r="I17" i="3"/>
  <c r="I18" i="3"/>
  <c r="I19" i="3"/>
  <c r="L19" i="3" s="1"/>
  <c r="N19" i="3" s="1"/>
  <c r="O19" i="3" s="1"/>
  <c r="I20" i="3"/>
  <c r="L20" i="3" s="1"/>
  <c r="N20" i="3" s="1"/>
  <c r="O20" i="3" s="1"/>
  <c r="I21" i="3"/>
  <c r="I22" i="3"/>
  <c r="I23" i="3"/>
  <c r="L23" i="3" s="1"/>
  <c r="N23" i="3" s="1"/>
  <c r="O23" i="3" s="1"/>
  <c r="I24" i="3"/>
  <c r="L24" i="3" s="1"/>
  <c r="N24" i="3" s="1"/>
  <c r="O24" i="3" s="1"/>
  <c r="I25" i="3"/>
  <c r="I26" i="3"/>
  <c r="I27" i="3"/>
  <c r="L27" i="3" s="1"/>
  <c r="N27" i="3" s="1"/>
  <c r="O27" i="3" s="1"/>
  <c r="I28" i="3"/>
  <c r="L28" i="3" s="1"/>
  <c r="N28" i="3" s="1"/>
  <c r="O28" i="3" s="1"/>
  <c r="I29" i="3"/>
  <c r="I30" i="3"/>
  <c r="I31" i="3"/>
  <c r="L31" i="3" s="1"/>
  <c r="N31" i="3" s="1"/>
  <c r="O31" i="3" s="1"/>
  <c r="I32" i="3"/>
  <c r="L32" i="3" s="1"/>
  <c r="N32" i="3" s="1"/>
  <c r="O32" i="3" s="1"/>
  <c r="I33" i="3"/>
  <c r="I34" i="3"/>
  <c r="I35" i="3"/>
  <c r="L35" i="3" s="1"/>
  <c r="N35" i="3" s="1"/>
  <c r="O35" i="3" s="1"/>
  <c r="I36" i="3"/>
  <c r="L36" i="3" s="1"/>
  <c r="N36" i="3" s="1"/>
  <c r="O36" i="3" s="1"/>
  <c r="I37" i="3"/>
  <c r="I38" i="3"/>
  <c r="I39" i="3"/>
  <c r="L39" i="3" s="1"/>
  <c r="N39" i="3" s="1"/>
  <c r="O39" i="3" s="1"/>
  <c r="I40" i="3"/>
  <c r="L40" i="3" s="1"/>
  <c r="N40" i="3" s="1"/>
  <c r="O40" i="3" s="1"/>
  <c r="I4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L38" i="3" l="1"/>
  <c r="N38" i="3" s="1"/>
  <c r="O38" i="3" s="1"/>
  <c r="L34" i="3"/>
  <c r="N34" i="3" s="1"/>
  <c r="O34" i="3" s="1"/>
  <c r="L30" i="3"/>
  <c r="N30" i="3" s="1"/>
  <c r="O30" i="3" s="1"/>
  <c r="L26" i="3"/>
  <c r="N26" i="3" s="1"/>
  <c r="O26" i="3" s="1"/>
  <c r="L22" i="3"/>
  <c r="N22" i="3" s="1"/>
  <c r="O22" i="3" s="1"/>
  <c r="L18" i="3"/>
  <c r="N18" i="3" s="1"/>
  <c r="O18" i="3" s="1"/>
  <c r="L14" i="3"/>
  <c r="N14" i="3" s="1"/>
  <c r="O14" i="3" s="1"/>
  <c r="L10" i="3"/>
  <c r="N10" i="3" s="1"/>
  <c r="O10" i="3" s="1"/>
  <c r="L2" i="3"/>
  <c r="N2" i="3" s="1"/>
  <c r="O2" i="3" s="1"/>
  <c r="L6" i="3"/>
  <c r="N6" i="3" s="1"/>
  <c r="O6" i="3" s="1"/>
  <c r="L41" i="3"/>
  <c r="N41" i="3" s="1"/>
  <c r="O41" i="3" s="1"/>
  <c r="L37" i="3"/>
  <c r="N37" i="3" s="1"/>
  <c r="O37" i="3" s="1"/>
  <c r="L33" i="3"/>
  <c r="N33" i="3" s="1"/>
  <c r="O33" i="3" s="1"/>
  <c r="L29" i="3"/>
  <c r="N29" i="3" s="1"/>
  <c r="O29" i="3" s="1"/>
  <c r="L25" i="3"/>
  <c r="N25" i="3" s="1"/>
  <c r="O25" i="3" s="1"/>
  <c r="L21" i="3"/>
  <c r="N21" i="3" s="1"/>
  <c r="O21" i="3" s="1"/>
  <c r="L17" i="3"/>
  <c r="N17" i="3" s="1"/>
  <c r="O17" i="3" s="1"/>
  <c r="L13" i="3"/>
  <c r="N13" i="3" s="1"/>
  <c r="O13" i="3" s="1"/>
  <c r="L9" i="3"/>
  <c r="N9" i="3" s="1"/>
  <c r="O9" i="3" s="1"/>
  <c r="L5" i="3"/>
  <c r="N5" i="3" s="1"/>
  <c r="O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<sst xmlns="http://schemas.openxmlformats.org/spreadsheetml/2006/main" count="289" uniqueCount="158">
  <si>
    <t>Order_ID,Order_Date,Customer_ID,Channel,Product_SKU,Quantity_Sold,Discount_Code</t>
  </si>
  <si>
    <t>ORD-1001,2026-07-01,CUST-101,In-Store,SKU-COF-01,2,</t>
  </si>
  <si>
    <t>ORD-1002,2026-07-01,CUST-104, online ,SKU-EQP-01,1,WELCOME20</t>
  </si>
  <si>
    <t>ORD-1003,2026-07-02,CUST-109,Online,SKU-COF-02,3,SUMMER10</t>
  </si>
  <si>
    <t>ORD-1004,2026-07-02,CUST-112,In-Store,SKU-PAN-01,4,</t>
  </si>
  <si>
    <t>ORD-1005,2026-07-03,CUST-105,B2B Wholesale,SKU-COF-01,20,B2B15</t>
  </si>
  <si>
    <t>ORD-1006,2026-07-03,CUST-101,In-Store,SKU-MER-01,1,</t>
  </si>
  <si>
    <t>ORD-1007,2026-07-04,CUST-118,ONLINE,SKU-EQP-02,1,</t>
  </si>
  <si>
    <t>ORD-1008,2026-07-05,CUST-121,In-Store,SKU-COF-03,1,</t>
  </si>
  <si>
    <t>ORD-1009,2026-07-05,CUST-104,Online,SKU-COF-02,2,SUMMER10</t>
  </si>
  <si>
    <t>ORD-1010,07/06/2026,CUST-130,In-Store,SKU-PAN-02,2,</t>
  </si>
  <si>
    <t>ORD-1011,2026-07-07,CUST-115,Online,SKU-EQP-03,1,WELCOME20</t>
  </si>
  <si>
    <t>ORD-1012,2026-07-08,CUST-105,B2B Wholesale,SKU-COF-02,15,B2B15</t>
  </si>
  <si>
    <t>ORD-1013,2026-07-08,CUST-140,In-Store,SKU-MER-02,3,</t>
  </si>
  <si>
    <t>ORD-1014,2026-07-09,CUST-109,Online,SKU-COF-01,1,</t>
  </si>
  <si>
    <t>ORD-1015,2026-07-10,CUST-122, in-store ,SKU-EQP-01,1,SUMMER10</t>
  </si>
  <si>
    <t>ORD-1016,2026-07-11,CUST-118,Online,SKU-COF-03,2,</t>
  </si>
  <si>
    <t>ORD-1017,2026-07-12,CUST-150,In-Store,SKU-PAN-01,6,</t>
  </si>
  <si>
    <t>ORD-1018,2026-07-13,CUST-101,In-Store,SKU-COF-02,1,</t>
  </si>
  <si>
    <t>ORD-1019,2026-07-14,CUST-105,B2B Wholesale,SKU-PAN-01,30,B2B15</t>
  </si>
  <si>
    <t>ORD-1020,2026-07-15,CUST-160,Online,SKU-EQP-02,2,WELCOME20</t>
  </si>
  <si>
    <t>ORD-1021,07/16/2026,CUST-104,Online,SKU-MER-01,2,</t>
  </si>
  <si>
    <t>ORD-1022,2026-07-17,CUST-162,In-Store,SKU-COF-01,1,</t>
  </si>
  <si>
    <t>ORD-1023,2026-07-18,CUST-165,Online,SKU-PAN-02,1,SUMMER10</t>
  </si>
  <si>
    <t>ORD-1024,2026-07-18,CUST-109,Online,SKU-EQP-03,1,</t>
  </si>
  <si>
    <t>ORD-1025,2026-07-19,CUST-170,In-Store,SKU-COF-03,3,</t>
  </si>
  <si>
    <t>ORD-1026,2026-07-20,CUST-105,B2B Wholesale,SKU-EQP-01,5,B2B15</t>
  </si>
  <si>
    <t>ORD-1027,2026-07-21,CUST-172,Online,SKU-MER-02,4,WELCOME20</t>
  </si>
  <si>
    <t>ORD-1028,2026-07-22,CUST-118,In-Store,SKU-COF-01,2,</t>
  </si>
  <si>
    <t>ORD-1029,2026-07-23,CUST-175,Online,SKU-COF-02,1,SUMMER10</t>
  </si>
  <si>
    <t>ORD-1030,07/24/2026,CUST-180,In-Store,SKU-EQP-02,1,</t>
  </si>
  <si>
    <t>ORD-1031,2026-07-25,CUST-101,Online,SKU-COF-01,2,SUMMER10</t>
  </si>
  <si>
    <t>ORD-1032,2026-07-26,CUST-182,In-Store,SKU-PAN-01,3,</t>
  </si>
  <si>
    <t>ORD-1033,2026-07-27,CUST-105,B2B Wholesale,SKU-COF-03,25,B2B15</t>
  </si>
  <si>
    <t>ORD-1034,2026-07-28,CUST-185,Online,SKU-EQP-03,2,WELCOME20</t>
  </si>
  <si>
    <t>ORD-1035,2026-07-29,CUST-104,In-Store,SKU-MER-01,1,</t>
  </si>
  <si>
    <t>ORD-1036,2026-07-30,CUST-190,Online,SKU-PAN-02,2,</t>
  </si>
  <si>
    <t>ORD-1037,2026-07-31,CUST-109,Online,SKU-COF-02,1,SUMMER10</t>
  </si>
  <si>
    <t>ORD-1038,2026-08-01,CUST-192,In-Store,SKU-COF-01,2,</t>
  </si>
  <si>
    <t>ORD-1039,2026-08-02,CUST-118,Online,SKU-EQP-01,1,WELCOME20</t>
  </si>
  <si>
    <t>ORD-1040,2026-08-03,CUST-105,B2B Wholesale,SKU-PAN-02,10,B2B15</t>
  </si>
  <si>
    <t>Order_ID</t>
  </si>
  <si>
    <t>Order_Date</t>
  </si>
  <si>
    <t>Customer_ID</t>
  </si>
  <si>
    <t>Channel</t>
  </si>
  <si>
    <t>Product_SKU</t>
  </si>
  <si>
    <t>Quantity_Sold</t>
  </si>
  <si>
    <t>Discount_Code</t>
  </si>
  <si>
    <t>ORD-1001</t>
  </si>
  <si>
    <t>CUST-101</t>
  </si>
  <si>
    <t>In-Store</t>
  </si>
  <si>
    <t>SKU-COF-01</t>
  </si>
  <si>
    <t>ORD-1002</t>
  </si>
  <si>
    <t>CUST-104</t>
  </si>
  <si>
    <t>SKU-EQP-01</t>
  </si>
  <si>
    <t>WELCOME20</t>
  </si>
  <si>
    <t>ORD-1003</t>
  </si>
  <si>
    <t>CUST-109</t>
  </si>
  <si>
    <t>Online</t>
  </si>
  <si>
    <t>SKU-COF-02</t>
  </si>
  <si>
    <t>SUMMER10</t>
  </si>
  <si>
    <t>ORD-1004</t>
  </si>
  <si>
    <t>CUST-112</t>
  </si>
  <si>
    <t>SKU-PAN-01</t>
  </si>
  <si>
    <t>ORD-1005</t>
  </si>
  <si>
    <t>CUST-105</t>
  </si>
  <si>
    <t>B2B Wholesale</t>
  </si>
  <si>
    <t>B2B15</t>
  </si>
  <si>
    <t>ORD-1006</t>
  </si>
  <si>
    <t>SKU-MER-01</t>
  </si>
  <si>
    <t>ORD-1007</t>
  </si>
  <si>
    <t>CUST-118</t>
  </si>
  <si>
    <t>SKU-EQP-02</t>
  </si>
  <si>
    <t>ORD-1008</t>
  </si>
  <si>
    <t>CUST-121</t>
  </si>
  <si>
    <t>SKU-COF-03</t>
  </si>
  <si>
    <t>ORD-1009</t>
  </si>
  <si>
    <t>ORD-1010</t>
  </si>
  <si>
    <t>CUST-130</t>
  </si>
  <si>
    <t>SKU-PAN-02</t>
  </si>
  <si>
    <t>ORD-1011</t>
  </si>
  <si>
    <t>CUST-115</t>
  </si>
  <si>
    <t>SKU-EQP-03</t>
  </si>
  <si>
    <t>ORD-1012</t>
  </si>
  <si>
    <t>ORD-1013</t>
  </si>
  <si>
    <t>CUST-140</t>
  </si>
  <si>
    <t>SKU-MER-02</t>
  </si>
  <si>
    <t>ORD-1014</t>
  </si>
  <si>
    <t>ORD-1015</t>
  </si>
  <si>
    <t>CUST-122</t>
  </si>
  <si>
    <t>ORD-1016</t>
  </si>
  <si>
    <t>ORD-1017</t>
  </si>
  <si>
    <t>CUST-150</t>
  </si>
  <si>
    <t>ORD-1018</t>
  </si>
  <si>
    <t>ORD-1019</t>
  </si>
  <si>
    <t>ORD-1020</t>
  </si>
  <si>
    <t>CUST-160</t>
  </si>
  <si>
    <t>ORD-1021</t>
  </si>
  <si>
    <t>ORD-1022</t>
  </si>
  <si>
    <t>CUST-162</t>
  </si>
  <si>
    <t>ORD-1023</t>
  </si>
  <si>
    <t>CUST-165</t>
  </si>
  <si>
    <t>ORD-1024</t>
  </si>
  <si>
    <t>ORD-1025</t>
  </si>
  <si>
    <t>CUST-170</t>
  </si>
  <si>
    <t>ORD-1026</t>
  </si>
  <si>
    <t>ORD-1027</t>
  </si>
  <si>
    <t>CUST-172</t>
  </si>
  <si>
    <t>ORD-1028</t>
  </si>
  <si>
    <t>ORD-1029</t>
  </si>
  <si>
    <t>CUST-175</t>
  </si>
  <si>
    <t>ORD-1030</t>
  </si>
  <si>
    <t>CUST-180</t>
  </si>
  <si>
    <t>ORD-1031</t>
  </si>
  <si>
    <t>ORD-1032</t>
  </si>
  <si>
    <t>CUST-182</t>
  </si>
  <si>
    <t>ORD-1033</t>
  </si>
  <si>
    <t>ORD-1034</t>
  </si>
  <si>
    <t>CUST-185</t>
  </si>
  <si>
    <t>ORD-1035</t>
  </si>
  <si>
    <t>ORD-1036</t>
  </si>
  <si>
    <t>CUST-190</t>
  </si>
  <si>
    <t>ORD-1037</t>
  </si>
  <si>
    <t>ORD-1038</t>
  </si>
  <si>
    <t>CUST-192</t>
  </si>
  <si>
    <t>ORD-1039</t>
  </si>
  <si>
    <t>ORD-1040</t>
  </si>
  <si>
    <t>Product_Name</t>
  </si>
  <si>
    <t>Category</t>
  </si>
  <si>
    <t>Unit_Cost</t>
  </si>
  <si>
    <t>Base_Unit_Price</t>
  </si>
  <si>
    <t>Signature Dark Roast 12oz</t>
  </si>
  <si>
    <t>Coffee Beans</t>
  </si>
  <si>
    <t>Ethiopian Light Roast 12oz</t>
  </si>
  <si>
    <t>Decaf Blend 12oz</t>
  </si>
  <si>
    <t>French Press 34oz</t>
  </si>
  <si>
    <t>Equipment</t>
  </si>
  <si>
    <t>Hand Burr Grinder</t>
  </si>
  <si>
    <t>Cold Brew Pitcher</t>
  </si>
  <si>
    <t>Ceramic Diner Mug</t>
  </si>
  <si>
    <t>Merchandise</t>
  </si>
  <si>
    <t>Brew &amp; Bean Canvas Tote</t>
  </si>
  <si>
    <t>Oat Milk Barista Blend 32oz</t>
  </si>
  <si>
    <t>Pantry</t>
  </si>
  <si>
    <t>Vanilla Syrup 750ml</t>
  </si>
  <si>
    <t>Base Price</t>
  </si>
  <si>
    <t>Discount_Pct</t>
  </si>
  <si>
    <t>Net_Revenue</t>
  </si>
  <si>
    <t>Total_Cost</t>
  </si>
  <si>
    <t>Gross_Profit</t>
  </si>
  <si>
    <t>Margin_Pct</t>
  </si>
  <si>
    <t>Grand Total</t>
  </si>
  <si>
    <t>(blank)</t>
  </si>
  <si>
    <t>Discount Code</t>
  </si>
  <si>
    <t>Order Volume</t>
  </si>
  <si>
    <t>Net Revenue</t>
  </si>
  <si>
    <t>Gross Profit</t>
  </si>
  <si>
    <t>Avg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</si>
</sst>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8" fontId="0" fillId="0" borderId="0" xfId="0" applyNumberFormat="1"/>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11">
    <dxf>
      <numFmt numFmtId="13" formatCode="0%"/>
    </dxf>
    <dxf>
      <numFmt numFmtId="12" formatCode="&quot;$&quot;#,##0.00_);[Red]\(&quot;$&quot;#,##0.00\)"/>
    </dxf>
    <dxf>
      <numFmt numFmtId="12" formatCode="&quot;$&quot;#,##0.00_);[Red]\(&quot;$&quot;#,##0.00\)"/>
    </dxf>
    <dxf>
      <numFmt numFmtId="12" formatCode="&quot;$&quot;#,##0.00_);[Red]\(&quot;$&quot;#,##0.00\)"/>
    </dxf>
    <dxf>
      <numFmt numFmtId="13" formatCode="0%"/>
    </dxf>
    <dxf>
      <numFmt numFmtId="12" formatCode="&quot;$&quot;#,##0.00_);[Red]\(&quot;$&quot;#,##0.00\)"/>
    </dxf>
    <dxf>
      <numFmt numFmtId="12" formatCode="&quot;$&quot;#,##0.00_);[Red]\(&quot;$&quot;#,##0.00\)"/>
    </dxf>
    <dxf>
      <numFmt numFmtId="0" formatCode="General"/>
    </dxf>
    <dxf>
      <numFmt numFmtId="19" formatCode="m/d/yyyy"/>
    </dxf>
    <dxf>
      <numFmt numFmtId="12" formatCode="&quot;$&quot;#,##0.00_);[Red]\(&quot;$&quot;#,##0.00\)"/>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[Brew_and_Bean_Sales_Analysis_vFinal.xlsx]Summary_Analysis!PivotTable1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Channel Financial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Summary_Analysis!$B$3</c:f>
              <c:strCache>
                <c:ptCount val="1"/>
                <c:pt idx="0">
                  <c:v>Net Revenue</c:v>
                </c:pt>
              </c:strCache>
            </c:strRef>
          </c:tx>
          <c:spPr>
            <a:solidFill>
              <a:schemeClr val="accent1"/>
            </a:solidFill>
            <a:ln>
              <a:noFill/>
            </a:ln>
            <a:effectLst/>
          </c:spPr>
          <c:invertIfNegative val="0"/>
          <c:cat>
            <c:strRef>
              <c:f>Summary_Analysis!$A$4:$A$7</c:f>
              <c:strCache>
                <c:ptCount val="3"/>
                <c:pt idx="0">
                  <c:v>B2B Wholesale</c:v>
                </c:pt>
                <c:pt idx="1">
                  <c:v>In-Store</c:v>
                </c:pt>
                <c:pt idx="2">
                  <c:v>Online</c:v>
                </c:pt>
              </c:strCache>
            </c:strRef>
          </c:cat>
          <c:val>
            <c:numRef>
              <c:f>Summary_Analysis!$B$4:$B$7</c:f>
              <c:numCache>
                <c:formatCode>"$"#,##0.00_);[Red]\("$"#,##0.00\)</c:formatCode>
                <c:ptCount val="3"/>
                <c:pt idx="0">
                  <c:v>1030.625</c:v>
                </c:pt>
                <c:pt idx="1">
                  <c:v>363.7</c:v>
                </c:pt>
                <c:pt idx="2">
                  <c:v>469.69999999999993</c:v>
                </c:pt>
              </c:numCache>
            </c:numRef>
          </c:val>
          <c:extLst>
            <c:ext xmlns:c16="http://schemas.microsoft.com/office/drawing/2014/chart" uri="{C3380CC4-5D6E-409C-BE32-E72D297353CC}">
              <c16:uniqueId val="{00000000-DB29-44CB-99DB-9DB05AC25C5D}"/>
            </c:ext>
          </c:extLst>
        </c:ser>
        <c:ser>
          <c:idx val="1"/>
          <c:order val="1"/>
          <c:tx>
            <c:strRef>
              <c:f>Summary_Analysis!$C$3</c:f>
              <c:strCache>
                <c:ptCount val="1"/>
                <c:pt idx="0">
                  <c:v>Gross Profit</c:v>
                </c:pt>
              </c:strCache>
            </c:strRef>
          </c:tx>
          <c:spPr>
            <a:solidFill>
              <a:schemeClr val="accent2"/>
            </a:solidFill>
            <a:ln>
              <a:noFill/>
            </a:ln>
            <a:effectLst/>
          </c:spPr>
          <c:invertIfNegative val="0"/>
          <c:cat>
            <c:strRef>
              <c:f>Summary_Analysis!$A$4:$A$7</c:f>
              <c:strCache>
                <c:ptCount val="3"/>
                <c:pt idx="0">
                  <c:v>B2B Wholesale</c:v>
                </c:pt>
                <c:pt idx="1">
                  <c:v>In-Store</c:v>
                </c:pt>
                <c:pt idx="2">
                  <c:v>Online</c:v>
                </c:pt>
              </c:strCache>
            </c:strRef>
          </c:cat>
          <c:val>
            <c:numRef>
              <c:f>Summary_Analysis!$C$4:$C$7</c:f>
              <c:numCache>
                <c:formatCode>"$"#,##0.00</c:formatCode>
                <c:ptCount val="3"/>
                <c:pt idx="0">
                  <c:v>622.625</c:v>
                </c:pt>
                <c:pt idx="1">
                  <c:v>235.20000000000002</c:v>
                </c:pt>
                <c:pt idx="2">
                  <c:v>264.7</c:v>
                </c:pt>
              </c:numCache>
            </c:numRef>
          </c:val>
          <c:extLst>
            <c:ext xmlns:c16="http://schemas.microsoft.com/office/drawing/2014/chart" uri="{C3380CC4-5D6E-409C-BE32-E72D297353CC}">
              <c16:uniqueId val="{00000001-DB29-44CB-99DB-9DB05AC25C5D}"/>
            </c:ext>
          </c:extLst>
        </c:ser>
        <c:ser>
          <c:idx val="2"/>
          <c:order val="2"/>
          <c:tx>
            <c:strRef>
              <c:f>Summary_Analysis!$D$3</c:f>
              <c:strCache>
                <c:ptCount val="1"/>
                <c:pt idx="0">
                  <c:v>Avg Margin %</c:v>
                </c:pt>
              </c:strCache>
            </c:strRef>
          </c:tx>
          <c:spPr>
            <a:solidFill>
              <a:schemeClr val="accent3"/>
            </a:solidFill>
            <a:ln>
              <a:noFill/>
            </a:ln>
            <a:effectLst/>
          </c:spPr>
          <c:invertIfNegative val="0"/>
          <c:cat>
            <c:strRef>
              <c:f>Summary_Analysis!$A$4:$A$7</c:f>
              <c:strCache>
                <c:ptCount val="3"/>
                <c:pt idx="0">
                  <c:v>B2B Wholesale</c:v>
                </c:pt>
                <c:pt idx="1">
                  <c:v>In-Store</c:v>
                </c:pt>
                <c:pt idx="2">
                  <c:v>Online</c:v>
                </c:pt>
              </c:strCache>
            </c:strRef>
          </c:cat>
          <c:val>
            <c:numRef>
              <c:f>Summary_Analysis!$D$4:$D$7</c:f>
              <c:numCache>
                <c:formatCode>0.00%</c:formatCode>
                <c:ptCount val="3"/>
                <c:pt idx="0">
                  <c:v>0.56980643470670511</c:v>
                </c:pt>
                <c:pt idx="1">
                  <c:v>0.65467549747389386</c:v>
                </c:pt>
                <c:pt idx="2">
                  <c:v>0.58279094417673427</c:v>
                </c:pt>
              </c:numCache>
            </c:numRef>
          </c:val>
          <c:extLst>
            <c:ext xmlns:c16="http://schemas.microsoft.com/office/drawing/2014/chart" uri="{C3380CC4-5D6E-409C-BE32-E72D297353CC}">
              <c16:uniqueId val="{00000002-DB29-44CB-99DB-9DB05AC25C5D}"/>
            </c:ext>
          </c:extLst>
        </c:ser>
        <c:dLbls>
          <c:showLegendKey val="0"/>
          <c:showVal val="0"/>
          <c:showCatName val="0"/>
          <c:showSerName val="0"/>
          <c:showPercent val="0"/>
          <c:showBubbleSize val="0"/>
        </c:dLbls>
        <c:gapWidth val="182"/>
        <c:axId val="1612708720"/>
        <c:axId val="1454256192"/>
      </c:barChart>
      <c:catAx>
        <c:axId val="161270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56192"/>
        <c:crosses val="autoZero"/>
        <c:auto val="1"/>
        <c:lblAlgn val="ctr"/>
        <c:lblOffset val="100"/>
        <c:noMultiLvlLbl val="0"/>
      </c:catAx>
      <c:valAx>
        <c:axId val="14542561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0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199125</xdr:colOff>
      <xdr:row>0</xdr:row>
      <xdr:rowOff>158750</xdr:rowOff>
    </xdr:from>
    <xdr:to>
      <xdr:col>8</xdr:col>
      <xdr:colOff>199125</xdr:colOff>
      <xdr:row>14</xdr:row>
      <xdr:rowOff>149225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137A2E8-A5CB-6097-0CBC-738F9CF3C3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39871" y="158750"/>
              <a:ext cx="1819702" cy="251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405423</xdr:colOff>
      <xdr:row>0</xdr:row>
      <xdr:rowOff>142164</xdr:rowOff>
    </xdr:from>
    <xdr:to>
      <xdr:col>19</xdr:col>
      <xdr:colOff>202224</xdr:colOff>
      <xdr:row>20</xdr:row>
      <xdr:rowOff>166432</xdr:rowOff>
    </xdr:to>
    <xdr:graphicFrame macro="">
      <xdr:nvGraphicFramePr>
        <xdr:cNvPr id="3" name="Chart 2">
          <a:extLst>
            <a:ext uri="{FF2B5EF4-FFF2-40B4-BE49-F238E27FC236}">
              <a16:creationId xmlns:a16="http://schemas.microsoft.com/office/drawing/2014/main" id="{5808E0F2-2700-4750-FE4E-24C638C8E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311.969071180552" createdVersion="8" refreshedVersion="8" minRefreshableVersion="3" recordCount="40" xr:uid="{4B1DD9CB-13E8-4C1D-993E-4C7EE4CC300A}">
  <cacheSource type="worksheet">
    <worksheetSource name="Fact_Transactions"/>
  </cacheSource>
  <cacheFields count="15">
    <cacheField name="Order_ID" numFmtId="0">
      <sharedItems/>
    </cacheField>
    <cacheField name="Order_Date" numFmtId="14">
      <sharedItems containsSemiMixedTypes="0" containsNonDate="0" containsDate="1" containsString="0" minDate="2026-07-01T00:00:00" maxDate="2026-08-04T00:00:00"/>
    </cacheField>
    <cacheField name="Customer_ID" numFmtId="0">
      <sharedItems/>
    </cacheField>
    <cacheField name="Clean-Channel" numFmtId="0">
      <sharedItems count="4">
        <s v="In-Store"/>
        <s v="Online"/>
        <s v="B2B Wholesale"/>
        <s v="" u="1"/>
      </sharedItems>
    </cacheField>
    <cacheField name="Product_SKU" numFmtId="0">
      <sharedItems/>
    </cacheField>
    <cacheField name="Quantity_Sold" numFmtId="0">
      <sharedItems containsSemiMixedTypes="0" containsString="0" containsNumber="1" containsInteger="1" minValue="1" maxValue="30"/>
    </cacheField>
    <cacheField name="Discount_Code" numFmtId="0">
      <sharedItems containsBlank="1" count="4">
        <m/>
        <s v="WELCOME20"/>
        <s v="SUMMER10"/>
        <s v="B2B15"/>
      </sharedItems>
    </cacheField>
    <cacheField name="Category" numFmtId="0">
      <sharedItems count="4">
        <s v="Coffee Beans"/>
        <s v="Equipment"/>
        <s v="Pantry"/>
        <s v="Merchandise"/>
      </sharedItems>
    </cacheField>
    <cacheField name="Base Price" numFmtId="8">
      <sharedItems containsSemiMixedTypes="0" containsString="0" containsNumber="1" minValue="4.5" maxValue="45"/>
    </cacheField>
    <cacheField name="Unit_Cost" numFmtId="8">
      <sharedItems containsSemiMixedTypes="0" containsString="0" containsNumber="1" minValue="1.8" maxValue="22"/>
    </cacheField>
    <cacheField name="Discount_Pct" numFmtId="9">
      <sharedItems containsSemiMixedTypes="0" containsString="0" containsNumber="1" minValue="0" maxValue="0.2"/>
    </cacheField>
    <cacheField name="Net_Revenue" numFmtId="8">
      <sharedItems containsSemiMixedTypes="0" containsString="0" containsNumber="1" minValue="6.3" maxValue="286.875"/>
    </cacheField>
    <cacheField name="Total_Cost" numFmtId="8">
      <sharedItems containsSemiMixedTypes="0" containsString="0" containsNumber="1" minValue="3.1" maxValue="100"/>
    </cacheField>
    <cacheField name="Gross_Profit" numFmtId="8">
      <sharedItems containsSemiMixedTypes="0" containsString="0" containsNumber="1" minValue="3.1999999999999997" maxValue="186.875"/>
    </cacheField>
    <cacheField name="Margin_Pct" numFmtId="9">
      <sharedItems containsSemiMixedTypes="0" containsString="0" containsNumber="1" minValue="0.3888888888888889" maxValue="0.73333333333333339"/>
    </cacheField>
  </cacheFields>
  <extLst>
    <ext xmlns:x14="http://schemas.microsoft.com/office/spreadsheetml/2009/9/main" uri="{725AE2AE-9491-48be-B2B4-4EB974FC3084}">
      <x14:pivotCacheDefinition pivotCacheId="545265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1001"/>
    <d v="2026-07-01T00:00:00"/>
    <s v="CUST-101"/>
    <x v="0"/>
    <s v="SKU-COF-01"/>
    <n v="2"/>
    <x v="0"/>
    <x v="0"/>
    <n v="14.5"/>
    <n v="4.2"/>
    <n v="0"/>
    <n v="29"/>
    <n v="8.4"/>
    <n v="20.6"/>
    <n v="0.71034482758620698"/>
  </r>
  <r>
    <s v="ORD-1002"/>
    <d v="2026-07-01T00:00:00"/>
    <s v="CUST-104"/>
    <x v="1"/>
    <s v="SKU-EQP-01"/>
    <n v="1"/>
    <x v="1"/>
    <x v="1"/>
    <n v="28"/>
    <n v="12.5"/>
    <n v="0.2"/>
    <n v="22.400000000000002"/>
    <n v="12.5"/>
    <n v="9.9000000000000021"/>
    <n v="0.44196428571428575"/>
  </r>
  <r>
    <s v="ORD-1003"/>
    <d v="2026-07-02T00:00:00"/>
    <s v="CUST-109"/>
    <x v="1"/>
    <s v="SKU-COF-02"/>
    <n v="3"/>
    <x v="2"/>
    <x v="0"/>
    <n v="16"/>
    <n v="5.0999999999999996"/>
    <n v="0.1"/>
    <n v="43.2"/>
    <n v="15.299999999999999"/>
    <n v="27.900000000000006"/>
    <n v="0.64583333333333337"/>
  </r>
  <r>
    <s v="ORD-1004"/>
    <d v="2026-07-02T00:00:00"/>
    <s v="CUST-112"/>
    <x v="0"/>
    <s v="SKU-PAN-01"/>
    <n v="4"/>
    <x v="0"/>
    <x v="2"/>
    <n v="4.5"/>
    <n v="1.8"/>
    <n v="0"/>
    <n v="18"/>
    <n v="7.2"/>
    <n v="10.8"/>
    <n v="0.60000000000000009"/>
  </r>
  <r>
    <s v="ORD-1005"/>
    <d v="2026-07-03T00:00:00"/>
    <s v="CUST-105"/>
    <x v="2"/>
    <s v="SKU-COF-01"/>
    <n v="20"/>
    <x v="3"/>
    <x v="0"/>
    <n v="14.5"/>
    <n v="4.2"/>
    <n v="0.15"/>
    <n v="246.5"/>
    <n v="84"/>
    <n v="162.5"/>
    <n v="0.65922920892494929"/>
  </r>
  <r>
    <s v="ORD-1006"/>
    <d v="2026-07-03T00:00:00"/>
    <s v="CUST-101"/>
    <x v="0"/>
    <s v="SKU-MER-01"/>
    <n v="1"/>
    <x v="0"/>
    <x v="3"/>
    <n v="12"/>
    <n v="3.2"/>
    <n v="0"/>
    <n v="12"/>
    <n v="3.2"/>
    <n v="8.8000000000000007"/>
    <n v="0.73333333333333339"/>
  </r>
  <r>
    <s v="ORD-1007"/>
    <d v="2026-07-04T00:00:00"/>
    <s v="CUST-118"/>
    <x v="1"/>
    <s v="SKU-EQP-02"/>
    <n v="1"/>
    <x v="0"/>
    <x v="1"/>
    <n v="45"/>
    <n v="22"/>
    <n v="0"/>
    <n v="45"/>
    <n v="22"/>
    <n v="23"/>
    <n v="0.51111111111111107"/>
  </r>
  <r>
    <s v="ORD-1008"/>
    <d v="2026-07-05T00:00:00"/>
    <s v="CUST-121"/>
    <x v="0"/>
    <s v="SKU-COF-03"/>
    <n v="1"/>
    <x v="0"/>
    <x v="0"/>
    <n v="13.5"/>
    <n v="4"/>
    <n v="0"/>
    <n v="13.5"/>
    <n v="4"/>
    <n v="9.5"/>
    <n v="0.70370370370370372"/>
  </r>
  <r>
    <s v="ORD-1009"/>
    <d v="2026-07-05T00:00:00"/>
    <s v="CUST-104"/>
    <x v="1"/>
    <s v="SKU-COF-02"/>
    <n v="2"/>
    <x v="2"/>
    <x v="0"/>
    <n v="16"/>
    <n v="5.0999999999999996"/>
    <n v="0.1"/>
    <n v="28.8"/>
    <n v="10.199999999999999"/>
    <n v="18.600000000000001"/>
    <n v="0.64583333333333337"/>
  </r>
  <r>
    <s v="ORD-1010"/>
    <d v="2026-07-06T00:00:00"/>
    <s v="CUST-130"/>
    <x v="0"/>
    <s v="SKU-PAN-02"/>
    <n v="2"/>
    <x v="0"/>
    <x v="2"/>
    <n v="7"/>
    <n v="3.1"/>
    <n v="0"/>
    <n v="14"/>
    <n v="6.2"/>
    <n v="7.8"/>
    <n v="0.55714285714285716"/>
  </r>
  <r>
    <s v="ORD-1011"/>
    <d v="2026-07-07T00:00:00"/>
    <s v="CUST-115"/>
    <x v="1"/>
    <s v="SKU-EQP-03"/>
    <n v="1"/>
    <x v="1"/>
    <x v="1"/>
    <n v="20"/>
    <n v="8"/>
    <n v="0.2"/>
    <n v="16"/>
    <n v="8"/>
    <n v="8"/>
    <n v="0.5"/>
  </r>
  <r>
    <s v="ORD-1012"/>
    <d v="2026-07-08T00:00:00"/>
    <s v="CUST-105"/>
    <x v="2"/>
    <s v="SKU-COF-02"/>
    <n v="15"/>
    <x v="3"/>
    <x v="0"/>
    <n v="16"/>
    <n v="5.0999999999999996"/>
    <n v="0.15"/>
    <n v="204"/>
    <n v="76.5"/>
    <n v="127.5"/>
    <n v="0.625"/>
  </r>
  <r>
    <s v="ORD-1013"/>
    <d v="2026-07-08T00:00:00"/>
    <s v="CUST-140"/>
    <x v="0"/>
    <s v="SKU-MER-02"/>
    <n v="3"/>
    <x v="0"/>
    <x v="3"/>
    <n v="8.5"/>
    <n v="2.5"/>
    <n v="0"/>
    <n v="25.5"/>
    <n v="7.5"/>
    <n v="18"/>
    <n v="0.70588235294117652"/>
  </r>
  <r>
    <s v="ORD-1014"/>
    <d v="2026-07-09T00:00:00"/>
    <s v="CUST-109"/>
    <x v="1"/>
    <s v="SKU-COF-01"/>
    <n v="1"/>
    <x v="0"/>
    <x v="0"/>
    <n v="14.5"/>
    <n v="4.2"/>
    <n v="0"/>
    <n v="14.5"/>
    <n v="4.2"/>
    <n v="10.3"/>
    <n v="0.71034482758620698"/>
  </r>
  <r>
    <s v="ORD-1015"/>
    <d v="2026-07-10T00:00:00"/>
    <s v="CUST-122"/>
    <x v="0"/>
    <s v="SKU-EQP-01"/>
    <n v="1"/>
    <x v="2"/>
    <x v="1"/>
    <n v="28"/>
    <n v="12.5"/>
    <n v="0.1"/>
    <n v="25.2"/>
    <n v="12.5"/>
    <n v="12.7"/>
    <n v="0.50396825396825395"/>
  </r>
  <r>
    <s v="ORD-1016"/>
    <d v="2026-07-11T00:00:00"/>
    <s v="CUST-118"/>
    <x v="1"/>
    <s v="SKU-COF-03"/>
    <n v="2"/>
    <x v="0"/>
    <x v="0"/>
    <n v="13.5"/>
    <n v="4"/>
    <n v="0"/>
    <n v="27"/>
    <n v="8"/>
    <n v="19"/>
    <n v="0.70370370370370372"/>
  </r>
  <r>
    <s v="ORD-1017"/>
    <d v="2026-07-12T00:00:00"/>
    <s v="CUST-150"/>
    <x v="0"/>
    <s v="SKU-PAN-01"/>
    <n v="6"/>
    <x v="0"/>
    <x v="2"/>
    <n v="4.5"/>
    <n v="1.8"/>
    <n v="0"/>
    <n v="27"/>
    <n v="10.8"/>
    <n v="16.2"/>
    <n v="0.6"/>
  </r>
  <r>
    <s v="ORD-1018"/>
    <d v="2026-07-13T00:00:00"/>
    <s v="CUST-101"/>
    <x v="0"/>
    <s v="SKU-COF-02"/>
    <n v="1"/>
    <x v="0"/>
    <x v="0"/>
    <n v="16"/>
    <n v="5.0999999999999996"/>
    <n v="0"/>
    <n v="16"/>
    <n v="5.0999999999999996"/>
    <n v="10.9"/>
    <n v="0.68125000000000002"/>
  </r>
  <r>
    <s v="ORD-1019"/>
    <d v="2026-07-14T00:00:00"/>
    <s v="CUST-105"/>
    <x v="2"/>
    <s v="SKU-PAN-01"/>
    <n v="30"/>
    <x v="3"/>
    <x v="2"/>
    <n v="4.5"/>
    <n v="1.8"/>
    <n v="0.15"/>
    <n v="114.75"/>
    <n v="54"/>
    <n v="60.75"/>
    <n v="0.52941176470588236"/>
  </r>
  <r>
    <s v="ORD-1020"/>
    <d v="2026-07-15T00:00:00"/>
    <s v="CUST-160"/>
    <x v="1"/>
    <s v="SKU-EQP-02"/>
    <n v="2"/>
    <x v="1"/>
    <x v="1"/>
    <n v="45"/>
    <n v="22"/>
    <n v="0.2"/>
    <n v="72"/>
    <n v="44"/>
    <n v="28"/>
    <n v="0.3888888888888889"/>
  </r>
  <r>
    <s v="ORD-1021"/>
    <d v="2026-07-16T00:00:00"/>
    <s v="CUST-104"/>
    <x v="1"/>
    <s v="SKU-MER-01"/>
    <n v="2"/>
    <x v="0"/>
    <x v="3"/>
    <n v="12"/>
    <n v="3.2"/>
    <n v="0"/>
    <n v="24"/>
    <n v="6.4"/>
    <n v="17.600000000000001"/>
    <n v="0.73333333333333339"/>
  </r>
  <r>
    <s v="ORD-1022"/>
    <d v="2026-07-17T00:00:00"/>
    <s v="CUST-162"/>
    <x v="0"/>
    <s v="SKU-COF-01"/>
    <n v="1"/>
    <x v="0"/>
    <x v="0"/>
    <n v="14.5"/>
    <n v="4.2"/>
    <n v="0"/>
    <n v="14.5"/>
    <n v="4.2"/>
    <n v="10.3"/>
    <n v="0.71034482758620698"/>
  </r>
  <r>
    <s v="ORD-1023"/>
    <d v="2026-07-18T00:00:00"/>
    <s v="CUST-165"/>
    <x v="1"/>
    <s v="SKU-PAN-02"/>
    <n v="1"/>
    <x v="2"/>
    <x v="2"/>
    <n v="7"/>
    <n v="3.1"/>
    <n v="0.1"/>
    <n v="6.3"/>
    <n v="3.1"/>
    <n v="3.1999999999999997"/>
    <n v="0.50793650793650791"/>
  </r>
  <r>
    <s v="ORD-1024"/>
    <d v="2026-07-18T00:00:00"/>
    <s v="CUST-109"/>
    <x v="1"/>
    <s v="SKU-EQP-03"/>
    <n v="1"/>
    <x v="0"/>
    <x v="1"/>
    <n v="20"/>
    <n v="8"/>
    <n v="0"/>
    <n v="20"/>
    <n v="8"/>
    <n v="12"/>
    <n v="0.6"/>
  </r>
  <r>
    <s v="ORD-1025"/>
    <d v="2026-07-19T00:00:00"/>
    <s v="CUST-170"/>
    <x v="0"/>
    <s v="SKU-COF-03"/>
    <n v="3"/>
    <x v="0"/>
    <x v="0"/>
    <n v="13.5"/>
    <n v="4"/>
    <n v="0"/>
    <n v="40.5"/>
    <n v="12"/>
    <n v="28.5"/>
    <n v="0.70370370370370372"/>
  </r>
  <r>
    <s v="ORD-1026"/>
    <d v="2026-07-20T00:00:00"/>
    <s v="CUST-105"/>
    <x v="2"/>
    <s v="SKU-EQP-01"/>
    <n v="5"/>
    <x v="3"/>
    <x v="1"/>
    <n v="28"/>
    <n v="12.5"/>
    <n v="0.15"/>
    <n v="119"/>
    <n v="62.5"/>
    <n v="56.5"/>
    <n v="0.47478991596638653"/>
  </r>
  <r>
    <s v="ORD-1027"/>
    <d v="2026-07-21T00:00:00"/>
    <s v="CUST-172"/>
    <x v="1"/>
    <s v="SKU-MER-02"/>
    <n v="4"/>
    <x v="1"/>
    <x v="3"/>
    <n v="8.5"/>
    <n v="2.5"/>
    <n v="0.2"/>
    <n v="27.200000000000003"/>
    <n v="10"/>
    <n v="17.200000000000003"/>
    <n v="0.63235294117647067"/>
  </r>
  <r>
    <s v="ORD-1028"/>
    <d v="2026-07-22T00:00:00"/>
    <s v="CUST-118"/>
    <x v="0"/>
    <s v="SKU-COF-01"/>
    <n v="2"/>
    <x v="0"/>
    <x v="0"/>
    <n v="14.5"/>
    <n v="4.2"/>
    <n v="0"/>
    <n v="29"/>
    <n v="8.4"/>
    <n v="20.6"/>
    <n v="0.71034482758620698"/>
  </r>
  <r>
    <s v="ORD-1029"/>
    <d v="2026-07-23T00:00:00"/>
    <s v="CUST-175"/>
    <x v="1"/>
    <s v="SKU-COF-02"/>
    <n v="1"/>
    <x v="2"/>
    <x v="0"/>
    <n v="16"/>
    <n v="5.0999999999999996"/>
    <n v="0.1"/>
    <n v="14.4"/>
    <n v="5.0999999999999996"/>
    <n v="9.3000000000000007"/>
    <n v="0.64583333333333337"/>
  </r>
  <r>
    <s v="ORD-1030"/>
    <d v="2026-07-24T00:00:00"/>
    <s v="CUST-180"/>
    <x v="0"/>
    <s v="SKU-EQP-02"/>
    <n v="1"/>
    <x v="0"/>
    <x v="1"/>
    <n v="45"/>
    <n v="22"/>
    <n v="0"/>
    <n v="45"/>
    <n v="22"/>
    <n v="23"/>
    <n v="0.51111111111111107"/>
  </r>
  <r>
    <s v="ORD-1031"/>
    <d v="2026-07-25T00:00:00"/>
    <s v="CUST-101"/>
    <x v="1"/>
    <s v="SKU-COF-01"/>
    <n v="2"/>
    <x v="2"/>
    <x v="0"/>
    <n v="14.5"/>
    <n v="4.2"/>
    <n v="0.1"/>
    <n v="26.1"/>
    <n v="8.4"/>
    <n v="17.700000000000003"/>
    <n v="0.67816091954022995"/>
  </r>
  <r>
    <s v="ORD-1032"/>
    <d v="2026-07-26T00:00:00"/>
    <s v="CUST-182"/>
    <x v="0"/>
    <s v="SKU-PAN-01"/>
    <n v="3"/>
    <x v="0"/>
    <x v="2"/>
    <n v="4.5"/>
    <n v="1.8"/>
    <n v="0"/>
    <n v="13.5"/>
    <n v="5.4"/>
    <n v="8.1"/>
    <n v="0.6"/>
  </r>
  <r>
    <s v="ORD-1033"/>
    <d v="2026-07-27T00:00:00"/>
    <s v="CUST-105"/>
    <x v="2"/>
    <s v="SKU-COF-03"/>
    <n v="25"/>
    <x v="3"/>
    <x v="0"/>
    <n v="13.5"/>
    <n v="4"/>
    <n v="0.15"/>
    <n v="286.875"/>
    <n v="100"/>
    <n v="186.875"/>
    <n v="0.65141612200435728"/>
  </r>
  <r>
    <s v="ORD-1034"/>
    <d v="2026-07-28T00:00:00"/>
    <s v="CUST-185"/>
    <x v="1"/>
    <s v="SKU-EQP-03"/>
    <n v="2"/>
    <x v="1"/>
    <x v="1"/>
    <n v="20"/>
    <n v="8"/>
    <n v="0.2"/>
    <n v="32"/>
    <n v="16"/>
    <n v="16"/>
    <n v="0.5"/>
  </r>
  <r>
    <s v="ORD-1035"/>
    <d v="2026-07-29T00:00:00"/>
    <s v="CUST-104"/>
    <x v="0"/>
    <s v="SKU-MER-01"/>
    <n v="1"/>
    <x v="0"/>
    <x v="3"/>
    <n v="12"/>
    <n v="3.2"/>
    <n v="0"/>
    <n v="12"/>
    <n v="3.2"/>
    <n v="8.8000000000000007"/>
    <n v="0.73333333333333339"/>
  </r>
  <r>
    <s v="ORD-1036"/>
    <d v="2026-07-30T00:00:00"/>
    <s v="CUST-190"/>
    <x v="1"/>
    <s v="SKU-PAN-02"/>
    <n v="2"/>
    <x v="0"/>
    <x v="2"/>
    <n v="7"/>
    <n v="3.1"/>
    <n v="0"/>
    <n v="14"/>
    <n v="6.2"/>
    <n v="7.8"/>
    <n v="0.55714285714285716"/>
  </r>
  <r>
    <s v="ORD-1037"/>
    <d v="2026-07-31T00:00:00"/>
    <s v="CUST-109"/>
    <x v="1"/>
    <s v="SKU-COF-02"/>
    <n v="1"/>
    <x v="2"/>
    <x v="0"/>
    <n v="16"/>
    <n v="5.0999999999999996"/>
    <n v="0.1"/>
    <n v="14.4"/>
    <n v="5.0999999999999996"/>
    <n v="9.3000000000000007"/>
    <n v="0.64583333333333337"/>
  </r>
  <r>
    <s v="ORD-1038"/>
    <d v="2026-08-01T00:00:00"/>
    <s v="CUST-192"/>
    <x v="0"/>
    <s v="SKU-COF-01"/>
    <n v="2"/>
    <x v="0"/>
    <x v="0"/>
    <n v="14.5"/>
    <n v="4.2"/>
    <n v="0"/>
    <n v="29"/>
    <n v="8.4"/>
    <n v="20.6"/>
    <n v="0.71034482758620698"/>
  </r>
  <r>
    <s v="ORD-1039"/>
    <d v="2026-08-02T00:00:00"/>
    <s v="CUST-118"/>
    <x v="1"/>
    <s v="SKU-EQP-01"/>
    <n v="1"/>
    <x v="1"/>
    <x v="1"/>
    <n v="28"/>
    <n v="12.5"/>
    <n v="0.2"/>
    <n v="22.400000000000002"/>
    <n v="12.5"/>
    <n v="9.9000000000000021"/>
    <n v="0.44196428571428575"/>
  </r>
  <r>
    <s v="ORD-1040"/>
    <d v="2026-08-03T00:00:00"/>
    <s v="CUST-105"/>
    <x v="2"/>
    <s v="SKU-PAN-02"/>
    <n v="10"/>
    <x v="3"/>
    <x v="2"/>
    <n v="7"/>
    <n v="3.1"/>
    <n v="0.15"/>
    <n v="59.5"/>
    <n v="31"/>
    <n v="28.5"/>
    <n v="0.478991596638655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E63AD-63F2-414F-9C3A-630C6AFBE9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hannel">
  <location ref="A3:D7" firstHeaderRow="0" firstDataRow="1" firstDataCol="1"/>
  <pivotFields count="15">
    <pivotField showAll="0"/>
    <pivotField showAll="0"/>
    <pivotField showAll="0"/>
    <pivotField axis="axisRow" showAll="0">
      <items count="5">
        <item m="1" x="3"/>
        <item x="2"/>
        <item x="0"/>
        <item x="1"/>
        <item t="default"/>
      </items>
    </pivotField>
    <pivotField showAll="0"/>
    <pivotField showAll="0"/>
    <pivotField showAll="0"/>
    <pivotField showAll="0">
      <items count="5">
        <item x="0"/>
        <item x="1"/>
        <item x="3"/>
        <item x="2"/>
        <item t="default"/>
      </items>
    </pivotField>
    <pivotField showAll="0"/>
    <pivotField showAll="0"/>
    <pivotField numFmtId="9" showAll="0"/>
    <pivotField dataField="1" showAll="0"/>
    <pivotField showAll="0"/>
    <pivotField dataField="1" showAll="0"/>
    <pivotField dataField="1" numFmtId="9" showAll="0"/>
  </pivotFields>
  <rowFields count="1">
    <field x="3"/>
  </rowFields>
  <rowItems count="4">
    <i>
      <x v="1"/>
    </i>
    <i>
      <x v="2"/>
    </i>
    <i>
      <x v="3"/>
    </i>
    <i t="grand">
      <x/>
    </i>
  </rowItems>
  <colFields count="1">
    <field x="-2"/>
  </colFields>
  <colItems count="3">
    <i>
      <x/>
    </i>
    <i i="1">
      <x v="1"/>
    </i>
    <i i="2">
      <x v="2"/>
    </i>
  </colItems>
  <dataFields count="3">
    <dataField name="Net Revenue" fld="11" baseField="3" baseItem="0" numFmtId="8"/>
    <dataField name="Gross Profit" fld="13" baseField="3" baseItem="0" numFmtId="164"/>
    <dataField name="Avg Margin %" fld="14" subtotal="average" baseField="3" baseItem="0" numFmtId="10"/>
  </dataFields>
  <formats count="2">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1CAA4-6431-4554-BE55-9E73C8DA49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Code">
  <location ref="A10:E15" firstHeaderRow="0" firstDataRow="1" firstDataCol="1"/>
  <pivotFields count="15">
    <pivotField dataField="1" showAll="0"/>
    <pivotField numFmtId="14" showAll="0"/>
    <pivotField showAll="0"/>
    <pivotField showAll="0"/>
    <pivotField showAll="0"/>
    <pivotField showAll="0"/>
    <pivotField axis="axisRow" showAll="0">
      <items count="5">
        <item x="3"/>
        <item x="2"/>
        <item x="1"/>
        <item x="0"/>
        <item t="default"/>
      </items>
    </pivotField>
    <pivotField showAll="0">
      <items count="5">
        <item x="0"/>
        <item x="1"/>
        <item x="3"/>
        <item x="2"/>
        <item t="default"/>
      </items>
    </pivotField>
    <pivotField numFmtId="8" showAll="0"/>
    <pivotField numFmtId="8" showAll="0"/>
    <pivotField numFmtId="9" showAll="0"/>
    <pivotField dataField="1" numFmtId="8" showAll="0"/>
    <pivotField numFmtId="8" showAll="0"/>
    <pivotField dataField="1" numFmtId="8" showAll="0"/>
    <pivotField dataField="1" numFmtId="9" showAll="0"/>
  </pivotFields>
  <rowFields count="1">
    <field x="6"/>
  </rowFields>
  <rowItems count="5">
    <i>
      <x/>
    </i>
    <i>
      <x v="1"/>
    </i>
    <i>
      <x v="2"/>
    </i>
    <i>
      <x v="3"/>
    </i>
    <i t="grand">
      <x/>
    </i>
  </rowItems>
  <colFields count="1">
    <field x="-2"/>
  </colFields>
  <colItems count="4">
    <i>
      <x/>
    </i>
    <i i="1">
      <x v="1"/>
    </i>
    <i i="2">
      <x v="2"/>
    </i>
    <i i="3">
      <x v="3"/>
    </i>
  </colItems>
  <dataFields count="4">
    <dataField name="Order Volume" fld="0" subtotal="count" baseField="0" baseItem="0"/>
    <dataField name="Net Revenue" fld="11" baseField="0" baseItem="0" numFmtId="8"/>
    <dataField name="Gross Profit" fld="13" baseField="0" baseItem="0" numFmtId="8"/>
    <dataField name="Avg Margin %" fld="14" subtotal="average"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859566-68AD-44AB-9FEE-4E2F3AB8D3A0}" sourceName="Category">
  <pivotTables>
    <pivotTable tabId="4" name="PivotTable1"/>
    <pivotTable tabId="4" name="PivotTable2"/>
  </pivotTables>
  <data>
    <tabular pivotCacheId="545265339">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33F8A2-F689-49D1-B095-26BA24A6D91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374402-1626-4754-A110-232FF507A3EE}" name="Fact_Transactions" displayName="Fact_Transactions" ref="A1:O41" totalsRowShown="0">
  <autoFilter ref="A1:O41" xr:uid="{A6374402-1626-4754-A110-232FF507A3EE}"/>
  <tableColumns count="15">
    <tableColumn id="1" xr3:uid="{5FE71A53-0198-4378-AB86-1D91E4473E2A}" name="Order_ID"/>
    <tableColumn id="2" xr3:uid="{5018CAD5-271D-4BCB-8F8C-0F0153AA66F3}" name="Order_Date" dataDxfId="8"/>
    <tableColumn id="3" xr3:uid="{9E6AF8D2-1E64-4E7B-B4A1-823A3B6625B7}" name="Customer_ID"/>
    <tableColumn id="4" xr3:uid="{C5AD7BCF-3B43-4F92-994A-E7242212EB03}" name="Channel"/>
    <tableColumn id="5" xr3:uid="{AB204E97-7A93-43A3-87F9-18DED2C7743D}" name="Product_SKU"/>
    <tableColumn id="6" xr3:uid="{BD699652-529B-45D0-80D0-C4AF4A83E811}" name="Quantity_Sold"/>
    <tableColumn id="7" xr3:uid="{1AAF0B2D-2091-4112-9045-FC645F777C35}" name="Discount_Code"/>
    <tableColumn id="8" xr3:uid="{F19671F0-DB84-4BB2-A753-FA43B27011A5}" name="Category" dataDxfId="7">
      <calculatedColumnFormula>_xlfn.XLOOKUP(Fact_Transactions[[#This Row],[Product_SKU]], Dim_Products[Product_SKU], Dim_Products[Category])</calculatedColumnFormula>
    </tableColumn>
    <tableColumn id="9" xr3:uid="{0FB7E851-0846-4957-AA35-DD2B3D5678E1}" name="Base Price" dataDxfId="6">
      <calculatedColumnFormula>_xlfn.XLOOKUP(Fact_Transactions[[#This Row],[Product_SKU]], Dim_Products[Product_SKU], Dim_Products[Base_Unit_Price])</calculatedColumnFormula>
    </tableColumn>
    <tableColumn id="10" xr3:uid="{B253C18F-1A57-4725-89F9-9074EE0C9336}" name="Unit_Cost" dataDxfId="5">
      <calculatedColumnFormula>_xlfn.XLOOKUP(Fact_Transactions[[#This Row],[Product_SKU]], Dim_Products[Product_SKU], Dim_Products[Unit_Cost])</calculatedColumnFormula>
    </tableColumn>
    <tableColumn id="13" xr3:uid="{06D4FD23-33F9-406D-85B8-4754F78D2B35}" name="Discount_Pct" dataDxfId="4">
      <calculatedColumnFormula array="1">_xlfn.SWITCH(Fact_Transactions[[#This Row],[Discount_Code]], "WELCOME20", 0.2, "B2B15", 0.15, "SUMMER10", 0.1, 0)</calculatedColumnFormula>
    </tableColumn>
    <tableColumn id="14" xr3:uid="{20613B0F-35C4-4A6C-985A-563B87EBD652}" name="Net_Revenue" dataDxfId="3">
      <calculatedColumnFormula>Fact_Transactions[[#This Row],[Quantity_Sold]] * Fact_Transactions[[#This Row],[Base Price]] * (1 - Fact_Transactions[[#This Row],[Discount_Pct]])</calculatedColumnFormula>
    </tableColumn>
    <tableColumn id="15" xr3:uid="{C92BE36D-309F-4A09-9BA2-4AB4FF13DE9D}" name="Total_Cost" dataDxfId="2">
      <calculatedColumnFormula>Fact_Transactions[[#This Row],[Quantity_Sold]] * Fact_Transactions[[#This Row],[Unit_Cost]]</calculatedColumnFormula>
    </tableColumn>
    <tableColumn id="16" xr3:uid="{623201DD-3136-4CA8-87B9-FE18BE8970C7}" name="Gross_Profit" dataDxfId="1">
      <calculatedColumnFormula>Fact_Transactions[[#This Row],[Net_Revenue]] - Fact_Transactions[[#This Row],[Total_Cost]]</calculatedColumnFormula>
    </tableColumn>
    <tableColumn id="17" xr3:uid="{D377F1E7-7F4D-423E-B077-99CFC7281427}" name="Margin_Pct" dataDxfId="0">
      <calculatedColumnFormula>IFERROR(Fact_Transactions[[#This Row],[Gross_Profit]] / Fact_Transactions[[#This Row],[Net_Revenue]],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1D7AEA-1F82-4CAD-B23B-D741890DEC03}" name="Dim_Products" displayName="Dim_Products" ref="A1:E11" totalsRowShown="0">
  <autoFilter ref="A1:E11" xr:uid="{BB1D7AEA-1F82-4CAD-B23B-D741890DEC03}"/>
  <tableColumns count="5">
    <tableColumn id="1" xr3:uid="{9C99BC5C-5750-4C29-A899-150066E30F9D}" name="Product_SKU"/>
    <tableColumn id="2" xr3:uid="{4719AD14-2617-4BA1-A8CE-8BD9A3A6BBD8}" name="Product_Name"/>
    <tableColumn id="3" xr3:uid="{E9EE26A3-D4D3-4727-A85E-31E183D1A68D}" name="Category"/>
    <tableColumn id="4" xr3:uid="{771EDAB6-5339-4DC8-955D-25A90DDD3A6F}" name="Unit_Cost"/>
    <tableColumn id="5" xr3:uid="{CA6BB105-CE18-487F-9C36-BFB6364928BE}" name="Base_Unit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2B74D-113B-4F06-ADA6-E29CA3E7B194}">
  <dimension ref="A3:E27"/>
  <sheetViews>
    <sheetView showGridLines="0" zoomScale="67" workbookViewId="0">
      <selection activeCell="E21" sqref="E21"/>
    </sheetView>
  </sheetViews>
  <sheetFormatPr defaultRowHeight="14.5" x14ac:dyDescent="0.35"/>
  <cols>
    <col min="1" max="1" width="15.26953125" bestFit="1" customWidth="1"/>
    <col min="2" max="2" width="12.6328125" style="2" bestFit="1" customWidth="1"/>
    <col min="3" max="3" width="11.453125" bestFit="1" customWidth="1"/>
    <col min="4" max="4" width="10.7265625" bestFit="1" customWidth="1"/>
    <col min="5" max="5" width="12.08984375" bestFit="1" customWidth="1"/>
  </cols>
  <sheetData>
    <row r="3" spans="1:5" x14ac:dyDescent="0.35">
      <c r="A3" s="4" t="s">
        <v>44</v>
      </c>
      <c r="B3" s="2" t="s">
        <v>155</v>
      </c>
      <c r="C3" t="s">
        <v>156</v>
      </c>
      <c r="D3" t="s">
        <v>157</v>
      </c>
    </row>
    <row r="4" spans="1:5" x14ac:dyDescent="0.35">
      <c r="A4" s="5" t="s">
        <v>66</v>
      </c>
      <c r="B4" s="2">
        <v>1030.625</v>
      </c>
      <c r="C4" s="6">
        <v>622.625</v>
      </c>
      <c r="D4" s="7">
        <v>0.56980643470670511</v>
      </c>
    </row>
    <row r="5" spans="1:5" x14ac:dyDescent="0.35">
      <c r="A5" s="5" t="s">
        <v>50</v>
      </c>
      <c r="B5" s="2">
        <v>363.7</v>
      </c>
      <c r="C5" s="6">
        <v>235.20000000000002</v>
      </c>
      <c r="D5" s="7">
        <v>0.65467549747389386</v>
      </c>
    </row>
    <row r="6" spans="1:5" x14ac:dyDescent="0.35">
      <c r="A6" s="5" t="s">
        <v>58</v>
      </c>
      <c r="B6" s="2">
        <v>469.69999999999993</v>
      </c>
      <c r="C6" s="6">
        <v>264.7</v>
      </c>
      <c r="D6" s="7">
        <v>0.58279094417673427</v>
      </c>
    </row>
    <row r="7" spans="1:5" x14ac:dyDescent="0.35">
      <c r="A7" s="5" t="s">
        <v>151</v>
      </c>
      <c r="B7" s="2">
        <v>1864.0250000000003</v>
      </c>
      <c r="C7" s="6">
        <v>1122.5249999999999</v>
      </c>
      <c r="D7" s="7">
        <v>0.60959708907509369</v>
      </c>
    </row>
    <row r="10" spans="1:5" x14ac:dyDescent="0.35">
      <c r="A10" s="4" t="s">
        <v>153</v>
      </c>
      <c r="B10" t="s">
        <v>154</v>
      </c>
      <c r="C10" t="s">
        <v>155</v>
      </c>
      <c r="D10" t="s">
        <v>156</v>
      </c>
      <c r="E10" t="s">
        <v>157</v>
      </c>
    </row>
    <row r="11" spans="1:5" x14ac:dyDescent="0.35">
      <c r="A11" s="5" t="s">
        <v>67</v>
      </c>
      <c r="B11">
        <v>6</v>
      </c>
      <c r="C11" s="2">
        <v>1030.625</v>
      </c>
      <c r="D11" s="2">
        <v>622.625</v>
      </c>
      <c r="E11" s="7">
        <v>0.56980643470670511</v>
      </c>
    </row>
    <row r="12" spans="1:5" x14ac:dyDescent="0.35">
      <c r="A12" s="5" t="s">
        <v>60</v>
      </c>
      <c r="B12">
        <v>7</v>
      </c>
      <c r="C12" s="2">
        <v>158.4</v>
      </c>
      <c r="D12" s="2">
        <v>98.7</v>
      </c>
      <c r="E12" s="7">
        <v>0.61048557353976085</v>
      </c>
    </row>
    <row r="13" spans="1:5" x14ac:dyDescent="0.35">
      <c r="A13" s="5" t="s">
        <v>55</v>
      </c>
      <c r="B13">
        <v>6</v>
      </c>
      <c r="C13" s="2">
        <v>192.00000000000003</v>
      </c>
      <c r="D13" s="2">
        <v>89.000000000000014</v>
      </c>
      <c r="E13" s="7">
        <v>0.48419506691565517</v>
      </c>
    </row>
    <row r="14" spans="1:5" x14ac:dyDescent="0.35">
      <c r="A14" s="5" t="s">
        <v>152</v>
      </c>
      <c r="B14">
        <v>21</v>
      </c>
      <c r="C14" s="2">
        <v>483</v>
      </c>
      <c r="D14" s="2">
        <v>312.20000000000005</v>
      </c>
      <c r="E14" s="7">
        <v>0.65649883516625041</v>
      </c>
    </row>
    <row r="15" spans="1:5" x14ac:dyDescent="0.35">
      <c r="A15" s="5" t="s">
        <v>151</v>
      </c>
      <c r="B15">
        <v>40</v>
      </c>
      <c r="C15" s="2">
        <v>1864.0250000000003</v>
      </c>
      <c r="D15" s="2">
        <v>1122.5249999999996</v>
      </c>
      <c r="E15" s="7">
        <v>0.6095970890750938</v>
      </c>
    </row>
    <row r="16" spans="1:5"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AACD-AC8A-48F8-91E0-576E24320874}">
  <dimension ref="A1:O41"/>
  <sheetViews>
    <sheetView tabSelected="1" zoomScale="36" workbookViewId="0">
      <selection activeCell="D2" sqref="D2"/>
    </sheetView>
  </sheetViews>
  <sheetFormatPr defaultRowHeight="14.5" x14ac:dyDescent="0.35"/>
  <cols>
    <col min="1" max="1" width="12.36328125" customWidth="1"/>
    <col min="2" max="2" width="14.54296875" customWidth="1"/>
    <col min="3" max="3" width="16" customWidth="1"/>
    <col min="4" max="4" width="18" customWidth="1"/>
    <col min="5" max="6" width="14.7265625" customWidth="1"/>
    <col min="7" max="7" width="20.26953125" customWidth="1"/>
    <col min="8" max="8" width="14.81640625" customWidth="1"/>
    <col min="9" max="9" width="15.36328125" style="2" customWidth="1"/>
    <col min="10" max="10" width="23.81640625" style="2" customWidth="1"/>
    <col min="11" max="11" width="24" style="3" customWidth="1"/>
    <col min="12" max="12" width="22.36328125" customWidth="1"/>
    <col min="13" max="13" width="20.08984375" customWidth="1"/>
    <col min="14" max="14" width="18.1796875" customWidth="1"/>
    <col min="15" max="15" width="8.7265625" style="3"/>
  </cols>
  <sheetData>
    <row r="1" spans="1:15" x14ac:dyDescent="0.35">
      <c r="A1" t="s">
        <v>41</v>
      </c>
      <c r="B1" t="s">
        <v>42</v>
      </c>
      <c r="C1" t="s">
        <v>43</v>
      </c>
      <c r="D1" t="s">
        <v>44</v>
      </c>
      <c r="E1" t="s">
        <v>45</v>
      </c>
      <c r="F1" t="s">
        <v>46</v>
      </c>
      <c r="G1" t="s">
        <v>47</v>
      </c>
      <c r="H1" t="s">
        <v>128</v>
      </c>
      <c r="I1" s="2" t="s">
        <v>145</v>
      </c>
      <c r="J1" s="2" t="s">
        <v>129</v>
      </c>
      <c r="K1" s="3" t="s">
        <v>146</v>
      </c>
      <c r="L1" t="s">
        <v>147</v>
      </c>
      <c r="M1" t="s">
        <v>148</v>
      </c>
      <c r="N1" t="s">
        <v>149</v>
      </c>
      <c r="O1" s="3" t="s">
        <v>150</v>
      </c>
    </row>
    <row r="2" spans="1:15" x14ac:dyDescent="0.35">
      <c r="A2" t="s">
        <v>48</v>
      </c>
      <c r="B2" s="1">
        <v>46204</v>
      </c>
      <c r="C2" t="s">
        <v>49</v>
      </c>
      <c r="D2" t="s">
        <v>50</v>
      </c>
      <c r="E2" t="s">
        <v>51</v>
      </c>
      <c r="F2">
        <v>2</v>
      </c>
      <c r="H2" t="str">
        <f>_xlfn.XLOOKUP(Fact_Transactions[[#This Row],[Product_SKU]], Dim_Products[Product_SKU], Dim_Products[Category])</f>
        <v>Coffee Beans</v>
      </c>
      <c r="I2" s="2">
        <f>_xlfn.XLOOKUP(Fact_Transactions[[#This Row],[Product_SKU]], Dim_Products[Product_SKU], Dim_Products[Base_Unit_Price])</f>
        <v>14.5</v>
      </c>
      <c r="J2" s="2">
        <f>_xlfn.XLOOKUP(Fact_Transactions[[#This Row],[Product_SKU]], Dim_Products[Product_SKU], Dim_Products[Unit_Cost])</f>
        <v>4.2</v>
      </c>
      <c r="K2" s="3" cm="1">
        <f t="array" ref="K2">_xlfn.SWITCH(Fact_Transactions[[#This Row],[Discount_Code]], "WELCOME20", 0.2, "B2B15", 0.15, "SUMMER10", 0.1, 0)</f>
        <v>0</v>
      </c>
      <c r="L2" s="2">
        <f>Fact_Transactions[[#This Row],[Quantity_Sold]] * Fact_Transactions[[#This Row],[Base Price]] * (1 - Fact_Transactions[[#This Row],[Discount_Pct]])</f>
        <v>29</v>
      </c>
      <c r="M2" s="2">
        <f>Fact_Transactions[[#This Row],[Quantity_Sold]] * Fact_Transactions[[#This Row],[Unit_Cost]]</f>
        <v>8.4</v>
      </c>
      <c r="N2" s="2">
        <f>Fact_Transactions[[#This Row],[Net_Revenue]] - Fact_Transactions[[#This Row],[Total_Cost]]</f>
        <v>20.6</v>
      </c>
      <c r="O2" s="3">
        <f>IFERROR(Fact_Transactions[[#This Row],[Gross_Profit]] / Fact_Transactions[[#This Row],[Net_Revenue]], 0)</f>
        <v>0.71034482758620698</v>
      </c>
    </row>
    <row r="3" spans="1:15" x14ac:dyDescent="0.35">
      <c r="A3" t="s">
        <v>52</v>
      </c>
      <c r="B3" s="1">
        <v>46204</v>
      </c>
      <c r="C3" t="s">
        <v>53</v>
      </c>
      <c r="D3" t="s">
        <v>58</v>
      </c>
      <c r="E3" t="s">
        <v>54</v>
      </c>
      <c r="F3">
        <v>1</v>
      </c>
      <c r="G3" t="s">
        <v>55</v>
      </c>
      <c r="H3" t="str">
        <f>_xlfn.XLOOKUP(Fact_Transactions[[#This Row],[Product_SKU]], Dim_Products[Product_SKU], Dim_Products[Category])</f>
        <v>Equipment</v>
      </c>
      <c r="I3" s="2">
        <f>_xlfn.XLOOKUP(Fact_Transactions[[#This Row],[Product_SKU]], Dim_Products[Product_SKU], Dim_Products[Base_Unit_Price])</f>
        <v>28</v>
      </c>
      <c r="J3" s="2">
        <f>_xlfn.XLOOKUP(Fact_Transactions[[#This Row],[Product_SKU]], Dim_Products[Product_SKU], Dim_Products[Unit_Cost])</f>
        <v>12.5</v>
      </c>
      <c r="K3" s="3" cm="1">
        <f t="array" ref="K3">_xlfn.SWITCH(Fact_Transactions[[#This Row],[Discount_Code]], "WELCOME20", 0.2, "B2B15", 0.15, "SUMMER10", 0.1, 0)</f>
        <v>0.2</v>
      </c>
      <c r="L3" s="2">
        <f>Fact_Transactions[[#This Row],[Quantity_Sold]] * Fact_Transactions[[#This Row],[Base Price]] * (1 - Fact_Transactions[[#This Row],[Discount_Pct]])</f>
        <v>22.400000000000002</v>
      </c>
      <c r="M3" s="2">
        <f>Fact_Transactions[[#This Row],[Quantity_Sold]] * Fact_Transactions[[#This Row],[Unit_Cost]]</f>
        <v>12.5</v>
      </c>
      <c r="N3" s="2">
        <f>Fact_Transactions[[#This Row],[Net_Revenue]] - Fact_Transactions[[#This Row],[Total_Cost]]</f>
        <v>9.9000000000000021</v>
      </c>
      <c r="O3" s="3">
        <f>IFERROR(Fact_Transactions[[#This Row],[Gross_Profit]] / Fact_Transactions[[#This Row],[Net_Revenue]], 0)</f>
        <v>0.44196428571428575</v>
      </c>
    </row>
    <row r="4" spans="1:15" x14ac:dyDescent="0.35">
      <c r="A4" t="s">
        <v>56</v>
      </c>
      <c r="B4" s="1">
        <v>46205</v>
      </c>
      <c r="C4" t="s">
        <v>57</v>
      </c>
      <c r="D4" t="s">
        <v>58</v>
      </c>
      <c r="E4" t="s">
        <v>59</v>
      </c>
      <c r="F4">
        <v>3</v>
      </c>
      <c r="G4" t="s">
        <v>60</v>
      </c>
      <c r="H4" t="str">
        <f>_xlfn.XLOOKUP(Fact_Transactions[[#This Row],[Product_SKU]], Dim_Products[Product_SKU], Dim_Products[Category])</f>
        <v>Coffee Beans</v>
      </c>
      <c r="I4" s="2">
        <f>_xlfn.XLOOKUP(Fact_Transactions[[#This Row],[Product_SKU]], Dim_Products[Product_SKU], Dim_Products[Base_Unit_Price])</f>
        <v>16</v>
      </c>
      <c r="J4" s="2">
        <f>_xlfn.XLOOKUP(Fact_Transactions[[#This Row],[Product_SKU]], Dim_Products[Product_SKU], Dim_Products[Unit_Cost])</f>
        <v>5.0999999999999996</v>
      </c>
      <c r="K4" s="3" cm="1">
        <f t="array" ref="K4">_xlfn.SWITCH(Fact_Transactions[[#This Row],[Discount_Code]], "WELCOME20", 0.2, "B2B15", 0.15, "SUMMER10", 0.1, 0)</f>
        <v>0.1</v>
      </c>
      <c r="L4" s="2">
        <f>Fact_Transactions[[#This Row],[Quantity_Sold]] * Fact_Transactions[[#This Row],[Base Price]] * (1 - Fact_Transactions[[#This Row],[Discount_Pct]])</f>
        <v>43.2</v>
      </c>
      <c r="M4" s="2">
        <f>Fact_Transactions[[#This Row],[Quantity_Sold]] * Fact_Transactions[[#This Row],[Unit_Cost]]</f>
        <v>15.299999999999999</v>
      </c>
      <c r="N4" s="2">
        <f>Fact_Transactions[[#This Row],[Net_Revenue]] - Fact_Transactions[[#This Row],[Total_Cost]]</f>
        <v>27.900000000000006</v>
      </c>
      <c r="O4" s="3">
        <f>IFERROR(Fact_Transactions[[#This Row],[Gross_Profit]] / Fact_Transactions[[#This Row],[Net_Revenue]], 0)</f>
        <v>0.64583333333333337</v>
      </c>
    </row>
    <row r="5" spans="1:15" x14ac:dyDescent="0.35">
      <c r="A5" t="s">
        <v>61</v>
      </c>
      <c r="B5" s="1">
        <v>46205</v>
      </c>
      <c r="C5" t="s">
        <v>62</v>
      </c>
      <c r="D5" t="s">
        <v>50</v>
      </c>
      <c r="E5" t="s">
        <v>63</v>
      </c>
      <c r="F5">
        <v>4</v>
      </c>
      <c r="H5" t="str">
        <f>_xlfn.XLOOKUP(Fact_Transactions[[#This Row],[Product_SKU]], Dim_Products[Product_SKU], Dim_Products[Category])</f>
        <v>Pantry</v>
      </c>
      <c r="I5" s="2">
        <f>_xlfn.XLOOKUP(Fact_Transactions[[#This Row],[Product_SKU]], Dim_Products[Product_SKU], Dim_Products[Base_Unit_Price])</f>
        <v>4.5</v>
      </c>
      <c r="J5" s="2">
        <f>_xlfn.XLOOKUP(Fact_Transactions[[#This Row],[Product_SKU]], Dim_Products[Product_SKU], Dim_Products[Unit_Cost])</f>
        <v>1.8</v>
      </c>
      <c r="K5" s="3" cm="1">
        <f t="array" ref="K5">_xlfn.SWITCH(Fact_Transactions[[#This Row],[Discount_Code]], "WELCOME20", 0.2, "B2B15", 0.15, "SUMMER10", 0.1, 0)</f>
        <v>0</v>
      </c>
      <c r="L5" s="2">
        <f>Fact_Transactions[[#This Row],[Quantity_Sold]] * Fact_Transactions[[#This Row],[Base Price]] * (1 - Fact_Transactions[[#This Row],[Discount_Pct]])</f>
        <v>18</v>
      </c>
      <c r="M5" s="2">
        <f>Fact_Transactions[[#This Row],[Quantity_Sold]] * Fact_Transactions[[#This Row],[Unit_Cost]]</f>
        <v>7.2</v>
      </c>
      <c r="N5" s="2">
        <f>Fact_Transactions[[#This Row],[Net_Revenue]] - Fact_Transactions[[#This Row],[Total_Cost]]</f>
        <v>10.8</v>
      </c>
      <c r="O5" s="3">
        <f>IFERROR(Fact_Transactions[[#This Row],[Gross_Profit]] / Fact_Transactions[[#This Row],[Net_Revenue]], 0)</f>
        <v>0.60000000000000009</v>
      </c>
    </row>
    <row r="6" spans="1:15" x14ac:dyDescent="0.35">
      <c r="A6" t="s">
        <v>64</v>
      </c>
      <c r="B6" s="1">
        <v>46206</v>
      </c>
      <c r="C6" t="s">
        <v>65</v>
      </c>
      <c r="D6" t="s">
        <v>66</v>
      </c>
      <c r="E6" t="s">
        <v>51</v>
      </c>
      <c r="F6">
        <v>20</v>
      </c>
      <c r="G6" t="s">
        <v>67</v>
      </c>
      <c r="H6" t="str">
        <f>_xlfn.XLOOKUP(Fact_Transactions[[#This Row],[Product_SKU]], Dim_Products[Product_SKU], Dim_Products[Category])</f>
        <v>Coffee Beans</v>
      </c>
      <c r="I6" s="2">
        <f>_xlfn.XLOOKUP(Fact_Transactions[[#This Row],[Product_SKU]], Dim_Products[Product_SKU], Dim_Products[Base_Unit_Price])</f>
        <v>14.5</v>
      </c>
      <c r="J6" s="2">
        <f>_xlfn.XLOOKUP(Fact_Transactions[[#This Row],[Product_SKU]], Dim_Products[Product_SKU], Dim_Products[Unit_Cost])</f>
        <v>4.2</v>
      </c>
      <c r="K6" s="3" cm="1">
        <f t="array" ref="K6">_xlfn.SWITCH(Fact_Transactions[[#This Row],[Discount_Code]], "WELCOME20", 0.2, "B2B15", 0.15, "SUMMER10", 0.1, 0)</f>
        <v>0.15</v>
      </c>
      <c r="L6" s="2">
        <f>Fact_Transactions[[#This Row],[Quantity_Sold]] * Fact_Transactions[[#This Row],[Base Price]] * (1 - Fact_Transactions[[#This Row],[Discount_Pct]])</f>
        <v>246.5</v>
      </c>
      <c r="M6" s="2">
        <f>Fact_Transactions[[#This Row],[Quantity_Sold]] * Fact_Transactions[[#This Row],[Unit_Cost]]</f>
        <v>84</v>
      </c>
      <c r="N6" s="2">
        <f>Fact_Transactions[[#This Row],[Net_Revenue]] - Fact_Transactions[[#This Row],[Total_Cost]]</f>
        <v>162.5</v>
      </c>
      <c r="O6" s="3">
        <f>IFERROR(Fact_Transactions[[#This Row],[Gross_Profit]] / Fact_Transactions[[#This Row],[Net_Revenue]], 0)</f>
        <v>0.65922920892494929</v>
      </c>
    </row>
    <row r="7" spans="1:15" x14ac:dyDescent="0.35">
      <c r="A7" t="s">
        <v>68</v>
      </c>
      <c r="B7" s="1">
        <v>46206</v>
      </c>
      <c r="C7" t="s">
        <v>49</v>
      </c>
      <c r="D7" t="s">
        <v>50</v>
      </c>
      <c r="E7" t="s">
        <v>69</v>
      </c>
      <c r="F7">
        <v>1</v>
      </c>
      <c r="H7" t="str">
        <f>_xlfn.XLOOKUP(Fact_Transactions[[#This Row],[Product_SKU]], Dim_Products[Product_SKU], Dim_Products[Category])</f>
        <v>Merchandise</v>
      </c>
      <c r="I7" s="2">
        <f>_xlfn.XLOOKUP(Fact_Transactions[[#This Row],[Product_SKU]], Dim_Products[Product_SKU], Dim_Products[Base_Unit_Price])</f>
        <v>12</v>
      </c>
      <c r="J7" s="2">
        <f>_xlfn.XLOOKUP(Fact_Transactions[[#This Row],[Product_SKU]], Dim_Products[Product_SKU], Dim_Products[Unit_Cost])</f>
        <v>3.2</v>
      </c>
      <c r="K7" s="3" cm="1">
        <f t="array" ref="K7">_xlfn.SWITCH(Fact_Transactions[[#This Row],[Discount_Code]], "WELCOME20", 0.2, "B2B15", 0.15, "SUMMER10", 0.1, 0)</f>
        <v>0</v>
      </c>
      <c r="L7" s="2">
        <f>Fact_Transactions[[#This Row],[Quantity_Sold]] * Fact_Transactions[[#This Row],[Base Price]] * (1 - Fact_Transactions[[#This Row],[Discount_Pct]])</f>
        <v>12</v>
      </c>
      <c r="M7" s="2">
        <f>Fact_Transactions[[#This Row],[Quantity_Sold]] * Fact_Transactions[[#This Row],[Unit_Cost]]</f>
        <v>3.2</v>
      </c>
      <c r="N7" s="2">
        <f>Fact_Transactions[[#This Row],[Net_Revenue]] - Fact_Transactions[[#This Row],[Total_Cost]]</f>
        <v>8.8000000000000007</v>
      </c>
      <c r="O7" s="3">
        <f>IFERROR(Fact_Transactions[[#This Row],[Gross_Profit]] / Fact_Transactions[[#This Row],[Net_Revenue]], 0)</f>
        <v>0.73333333333333339</v>
      </c>
    </row>
    <row r="8" spans="1:15" x14ac:dyDescent="0.35">
      <c r="A8" t="s">
        <v>70</v>
      </c>
      <c r="B8" s="1">
        <v>46207</v>
      </c>
      <c r="C8" t="s">
        <v>71</v>
      </c>
      <c r="D8" t="s">
        <v>58</v>
      </c>
      <c r="E8" t="s">
        <v>72</v>
      </c>
      <c r="F8">
        <v>1</v>
      </c>
      <c r="H8" t="str">
        <f>_xlfn.XLOOKUP(Fact_Transactions[[#This Row],[Product_SKU]], Dim_Products[Product_SKU], Dim_Products[Category])</f>
        <v>Equipment</v>
      </c>
      <c r="I8" s="2">
        <f>_xlfn.XLOOKUP(Fact_Transactions[[#This Row],[Product_SKU]], Dim_Products[Product_SKU], Dim_Products[Base_Unit_Price])</f>
        <v>45</v>
      </c>
      <c r="J8" s="2">
        <f>_xlfn.XLOOKUP(Fact_Transactions[[#This Row],[Product_SKU]], Dim_Products[Product_SKU], Dim_Products[Unit_Cost])</f>
        <v>22</v>
      </c>
      <c r="K8" s="3" cm="1">
        <f t="array" ref="K8">_xlfn.SWITCH(Fact_Transactions[[#This Row],[Discount_Code]], "WELCOME20", 0.2, "B2B15", 0.15, "SUMMER10", 0.1, 0)</f>
        <v>0</v>
      </c>
      <c r="L8" s="2">
        <f>Fact_Transactions[[#This Row],[Quantity_Sold]] * Fact_Transactions[[#This Row],[Base Price]] * (1 - Fact_Transactions[[#This Row],[Discount_Pct]])</f>
        <v>45</v>
      </c>
      <c r="M8" s="2">
        <f>Fact_Transactions[[#This Row],[Quantity_Sold]] * Fact_Transactions[[#This Row],[Unit_Cost]]</f>
        <v>22</v>
      </c>
      <c r="N8" s="2">
        <f>Fact_Transactions[[#This Row],[Net_Revenue]] - Fact_Transactions[[#This Row],[Total_Cost]]</f>
        <v>23</v>
      </c>
      <c r="O8" s="3">
        <f>IFERROR(Fact_Transactions[[#This Row],[Gross_Profit]] / Fact_Transactions[[#This Row],[Net_Revenue]], 0)</f>
        <v>0.51111111111111107</v>
      </c>
    </row>
    <row r="9" spans="1:15" x14ac:dyDescent="0.35">
      <c r="A9" t="s">
        <v>73</v>
      </c>
      <c r="B9" s="1">
        <v>46208</v>
      </c>
      <c r="C9" t="s">
        <v>74</v>
      </c>
      <c r="D9" t="s">
        <v>50</v>
      </c>
      <c r="E9" t="s">
        <v>75</v>
      </c>
      <c r="F9">
        <v>1</v>
      </c>
      <c r="H9" t="str">
        <f>_xlfn.XLOOKUP(Fact_Transactions[[#This Row],[Product_SKU]], Dim_Products[Product_SKU], Dim_Products[Category])</f>
        <v>Coffee Beans</v>
      </c>
      <c r="I9" s="2">
        <f>_xlfn.XLOOKUP(Fact_Transactions[[#This Row],[Product_SKU]], Dim_Products[Product_SKU], Dim_Products[Base_Unit_Price])</f>
        <v>13.5</v>
      </c>
      <c r="J9" s="2">
        <f>_xlfn.XLOOKUP(Fact_Transactions[[#This Row],[Product_SKU]], Dim_Products[Product_SKU], Dim_Products[Unit_Cost])</f>
        <v>4</v>
      </c>
      <c r="K9" s="3" cm="1">
        <f t="array" ref="K9">_xlfn.SWITCH(Fact_Transactions[[#This Row],[Discount_Code]], "WELCOME20", 0.2, "B2B15", 0.15, "SUMMER10", 0.1, 0)</f>
        <v>0</v>
      </c>
      <c r="L9" s="2">
        <f>Fact_Transactions[[#This Row],[Quantity_Sold]] * Fact_Transactions[[#This Row],[Base Price]] * (1 - Fact_Transactions[[#This Row],[Discount_Pct]])</f>
        <v>13.5</v>
      </c>
      <c r="M9" s="2">
        <f>Fact_Transactions[[#This Row],[Quantity_Sold]] * Fact_Transactions[[#This Row],[Unit_Cost]]</f>
        <v>4</v>
      </c>
      <c r="N9" s="2">
        <f>Fact_Transactions[[#This Row],[Net_Revenue]] - Fact_Transactions[[#This Row],[Total_Cost]]</f>
        <v>9.5</v>
      </c>
      <c r="O9" s="3">
        <f>IFERROR(Fact_Transactions[[#This Row],[Gross_Profit]] / Fact_Transactions[[#This Row],[Net_Revenue]], 0)</f>
        <v>0.70370370370370372</v>
      </c>
    </row>
    <row r="10" spans="1:15" x14ac:dyDescent="0.35">
      <c r="A10" t="s">
        <v>76</v>
      </c>
      <c r="B10" s="1">
        <v>46208</v>
      </c>
      <c r="C10" t="s">
        <v>53</v>
      </c>
      <c r="D10" t="s">
        <v>58</v>
      </c>
      <c r="E10" t="s">
        <v>59</v>
      </c>
      <c r="F10">
        <v>2</v>
      </c>
      <c r="G10" t="s">
        <v>60</v>
      </c>
      <c r="H10" t="str">
        <f>_xlfn.XLOOKUP(Fact_Transactions[[#This Row],[Product_SKU]], Dim_Products[Product_SKU], Dim_Products[Category])</f>
        <v>Coffee Beans</v>
      </c>
      <c r="I10" s="2">
        <f>_xlfn.XLOOKUP(Fact_Transactions[[#This Row],[Product_SKU]], Dim_Products[Product_SKU], Dim_Products[Base_Unit_Price])</f>
        <v>16</v>
      </c>
      <c r="J10" s="2">
        <f>_xlfn.XLOOKUP(Fact_Transactions[[#This Row],[Product_SKU]], Dim_Products[Product_SKU], Dim_Products[Unit_Cost])</f>
        <v>5.0999999999999996</v>
      </c>
      <c r="K10" s="3" cm="1">
        <f t="array" ref="K10">_xlfn.SWITCH(Fact_Transactions[[#This Row],[Discount_Code]], "WELCOME20", 0.2, "B2B15", 0.15, "SUMMER10", 0.1, 0)</f>
        <v>0.1</v>
      </c>
      <c r="L10" s="2">
        <f>Fact_Transactions[[#This Row],[Quantity_Sold]] * Fact_Transactions[[#This Row],[Base Price]] * (1 - Fact_Transactions[[#This Row],[Discount_Pct]])</f>
        <v>28.8</v>
      </c>
      <c r="M10" s="2">
        <f>Fact_Transactions[[#This Row],[Quantity_Sold]] * Fact_Transactions[[#This Row],[Unit_Cost]]</f>
        <v>10.199999999999999</v>
      </c>
      <c r="N10" s="2">
        <f>Fact_Transactions[[#This Row],[Net_Revenue]] - Fact_Transactions[[#This Row],[Total_Cost]]</f>
        <v>18.600000000000001</v>
      </c>
      <c r="O10" s="3">
        <f>IFERROR(Fact_Transactions[[#This Row],[Gross_Profit]] / Fact_Transactions[[#This Row],[Net_Revenue]], 0)</f>
        <v>0.64583333333333337</v>
      </c>
    </row>
    <row r="11" spans="1:15" x14ac:dyDescent="0.35">
      <c r="A11" t="s">
        <v>77</v>
      </c>
      <c r="B11" s="1">
        <v>46209</v>
      </c>
      <c r="C11" t="s">
        <v>78</v>
      </c>
      <c r="D11" t="s">
        <v>50</v>
      </c>
      <c r="E11" t="s">
        <v>79</v>
      </c>
      <c r="F11">
        <v>2</v>
      </c>
      <c r="H11" t="str">
        <f>_xlfn.XLOOKUP(Fact_Transactions[[#This Row],[Product_SKU]], Dim_Products[Product_SKU], Dim_Products[Category])</f>
        <v>Pantry</v>
      </c>
      <c r="I11" s="2">
        <f>_xlfn.XLOOKUP(Fact_Transactions[[#This Row],[Product_SKU]], Dim_Products[Product_SKU], Dim_Products[Base_Unit_Price])</f>
        <v>7</v>
      </c>
      <c r="J11" s="2">
        <f>_xlfn.XLOOKUP(Fact_Transactions[[#This Row],[Product_SKU]], Dim_Products[Product_SKU], Dim_Products[Unit_Cost])</f>
        <v>3.1</v>
      </c>
      <c r="K11" s="3" cm="1">
        <f t="array" ref="K11">_xlfn.SWITCH(Fact_Transactions[[#This Row],[Discount_Code]], "WELCOME20", 0.2, "B2B15", 0.15, "SUMMER10", 0.1, 0)</f>
        <v>0</v>
      </c>
      <c r="L11" s="2">
        <f>Fact_Transactions[[#This Row],[Quantity_Sold]] * Fact_Transactions[[#This Row],[Base Price]] * (1 - Fact_Transactions[[#This Row],[Discount_Pct]])</f>
        <v>14</v>
      </c>
      <c r="M11" s="2">
        <f>Fact_Transactions[[#This Row],[Quantity_Sold]] * Fact_Transactions[[#This Row],[Unit_Cost]]</f>
        <v>6.2</v>
      </c>
      <c r="N11" s="2">
        <f>Fact_Transactions[[#This Row],[Net_Revenue]] - Fact_Transactions[[#This Row],[Total_Cost]]</f>
        <v>7.8</v>
      </c>
      <c r="O11" s="3">
        <f>IFERROR(Fact_Transactions[[#This Row],[Gross_Profit]] / Fact_Transactions[[#This Row],[Net_Revenue]], 0)</f>
        <v>0.55714285714285716</v>
      </c>
    </row>
    <row r="12" spans="1:15" x14ac:dyDescent="0.35">
      <c r="A12" t="s">
        <v>80</v>
      </c>
      <c r="B12" s="1">
        <v>46210</v>
      </c>
      <c r="C12" t="s">
        <v>81</v>
      </c>
      <c r="D12" t="s">
        <v>58</v>
      </c>
      <c r="E12" t="s">
        <v>82</v>
      </c>
      <c r="F12">
        <v>1</v>
      </c>
      <c r="G12" t="s">
        <v>55</v>
      </c>
      <c r="H12" t="str">
        <f>_xlfn.XLOOKUP(Fact_Transactions[[#This Row],[Product_SKU]], Dim_Products[Product_SKU], Dim_Products[Category])</f>
        <v>Equipment</v>
      </c>
      <c r="I12" s="2">
        <f>_xlfn.XLOOKUP(Fact_Transactions[[#This Row],[Product_SKU]], Dim_Products[Product_SKU], Dim_Products[Base_Unit_Price])</f>
        <v>20</v>
      </c>
      <c r="J12" s="2">
        <f>_xlfn.XLOOKUP(Fact_Transactions[[#This Row],[Product_SKU]], Dim_Products[Product_SKU], Dim_Products[Unit_Cost])</f>
        <v>8</v>
      </c>
      <c r="K12" s="3" cm="1">
        <f t="array" ref="K12">_xlfn.SWITCH(Fact_Transactions[[#This Row],[Discount_Code]], "WELCOME20", 0.2, "B2B15", 0.15, "SUMMER10", 0.1, 0)</f>
        <v>0.2</v>
      </c>
      <c r="L12" s="2">
        <f>Fact_Transactions[[#This Row],[Quantity_Sold]] * Fact_Transactions[[#This Row],[Base Price]] * (1 - Fact_Transactions[[#This Row],[Discount_Pct]])</f>
        <v>16</v>
      </c>
      <c r="M12" s="2">
        <f>Fact_Transactions[[#This Row],[Quantity_Sold]] * Fact_Transactions[[#This Row],[Unit_Cost]]</f>
        <v>8</v>
      </c>
      <c r="N12" s="2">
        <f>Fact_Transactions[[#This Row],[Net_Revenue]] - Fact_Transactions[[#This Row],[Total_Cost]]</f>
        <v>8</v>
      </c>
      <c r="O12" s="3">
        <f>IFERROR(Fact_Transactions[[#This Row],[Gross_Profit]] / Fact_Transactions[[#This Row],[Net_Revenue]], 0)</f>
        <v>0.5</v>
      </c>
    </row>
    <row r="13" spans="1:15" x14ac:dyDescent="0.35">
      <c r="A13" t="s">
        <v>83</v>
      </c>
      <c r="B13" s="1">
        <v>46211</v>
      </c>
      <c r="C13" t="s">
        <v>65</v>
      </c>
      <c r="D13" t="s">
        <v>66</v>
      </c>
      <c r="E13" t="s">
        <v>59</v>
      </c>
      <c r="F13">
        <v>15</v>
      </c>
      <c r="G13" t="s">
        <v>67</v>
      </c>
      <c r="H13" t="str">
        <f>_xlfn.XLOOKUP(Fact_Transactions[[#This Row],[Product_SKU]], Dim_Products[Product_SKU], Dim_Products[Category])</f>
        <v>Coffee Beans</v>
      </c>
      <c r="I13" s="2">
        <f>_xlfn.XLOOKUP(Fact_Transactions[[#This Row],[Product_SKU]], Dim_Products[Product_SKU], Dim_Products[Base_Unit_Price])</f>
        <v>16</v>
      </c>
      <c r="J13" s="2">
        <f>_xlfn.XLOOKUP(Fact_Transactions[[#This Row],[Product_SKU]], Dim_Products[Product_SKU], Dim_Products[Unit_Cost])</f>
        <v>5.0999999999999996</v>
      </c>
      <c r="K13" s="3" cm="1">
        <f t="array" ref="K13">_xlfn.SWITCH(Fact_Transactions[[#This Row],[Discount_Code]], "WELCOME20", 0.2, "B2B15", 0.15, "SUMMER10", 0.1, 0)</f>
        <v>0.15</v>
      </c>
      <c r="L13" s="2">
        <f>Fact_Transactions[[#This Row],[Quantity_Sold]] * Fact_Transactions[[#This Row],[Base Price]] * (1 - Fact_Transactions[[#This Row],[Discount_Pct]])</f>
        <v>204</v>
      </c>
      <c r="M13" s="2">
        <f>Fact_Transactions[[#This Row],[Quantity_Sold]] * Fact_Transactions[[#This Row],[Unit_Cost]]</f>
        <v>76.5</v>
      </c>
      <c r="N13" s="2">
        <f>Fact_Transactions[[#This Row],[Net_Revenue]] - Fact_Transactions[[#This Row],[Total_Cost]]</f>
        <v>127.5</v>
      </c>
      <c r="O13" s="3">
        <f>IFERROR(Fact_Transactions[[#This Row],[Gross_Profit]] / Fact_Transactions[[#This Row],[Net_Revenue]], 0)</f>
        <v>0.625</v>
      </c>
    </row>
    <row r="14" spans="1:15" x14ac:dyDescent="0.35">
      <c r="A14" t="s">
        <v>84</v>
      </c>
      <c r="B14" s="1">
        <v>46211</v>
      </c>
      <c r="C14" t="s">
        <v>85</v>
      </c>
      <c r="D14" t="s">
        <v>50</v>
      </c>
      <c r="E14" t="s">
        <v>86</v>
      </c>
      <c r="F14">
        <v>3</v>
      </c>
      <c r="H14" t="str">
        <f>_xlfn.XLOOKUP(Fact_Transactions[[#This Row],[Product_SKU]], Dim_Products[Product_SKU], Dim_Products[Category])</f>
        <v>Merchandise</v>
      </c>
      <c r="I14" s="2">
        <f>_xlfn.XLOOKUP(Fact_Transactions[[#This Row],[Product_SKU]], Dim_Products[Product_SKU], Dim_Products[Base_Unit_Price])</f>
        <v>8.5</v>
      </c>
      <c r="J14" s="2">
        <f>_xlfn.XLOOKUP(Fact_Transactions[[#This Row],[Product_SKU]], Dim_Products[Product_SKU], Dim_Products[Unit_Cost])</f>
        <v>2.5</v>
      </c>
      <c r="K14" s="3" cm="1">
        <f t="array" ref="K14">_xlfn.SWITCH(Fact_Transactions[[#This Row],[Discount_Code]], "WELCOME20", 0.2, "B2B15", 0.15, "SUMMER10", 0.1, 0)</f>
        <v>0</v>
      </c>
      <c r="L14" s="2">
        <f>Fact_Transactions[[#This Row],[Quantity_Sold]] * Fact_Transactions[[#This Row],[Base Price]] * (1 - Fact_Transactions[[#This Row],[Discount_Pct]])</f>
        <v>25.5</v>
      </c>
      <c r="M14" s="2">
        <f>Fact_Transactions[[#This Row],[Quantity_Sold]] * Fact_Transactions[[#This Row],[Unit_Cost]]</f>
        <v>7.5</v>
      </c>
      <c r="N14" s="2">
        <f>Fact_Transactions[[#This Row],[Net_Revenue]] - Fact_Transactions[[#This Row],[Total_Cost]]</f>
        <v>18</v>
      </c>
      <c r="O14" s="3">
        <f>IFERROR(Fact_Transactions[[#This Row],[Gross_Profit]] / Fact_Transactions[[#This Row],[Net_Revenue]], 0)</f>
        <v>0.70588235294117652</v>
      </c>
    </row>
    <row r="15" spans="1:15" x14ac:dyDescent="0.35">
      <c r="A15" t="s">
        <v>87</v>
      </c>
      <c r="B15" s="1">
        <v>46212</v>
      </c>
      <c r="C15" t="s">
        <v>57</v>
      </c>
      <c r="D15" t="s">
        <v>58</v>
      </c>
      <c r="E15" t="s">
        <v>51</v>
      </c>
      <c r="F15">
        <v>1</v>
      </c>
      <c r="H15" t="str">
        <f>_xlfn.XLOOKUP(Fact_Transactions[[#This Row],[Product_SKU]], Dim_Products[Product_SKU], Dim_Products[Category])</f>
        <v>Coffee Beans</v>
      </c>
      <c r="I15" s="2">
        <f>_xlfn.XLOOKUP(Fact_Transactions[[#This Row],[Product_SKU]], Dim_Products[Product_SKU], Dim_Products[Base_Unit_Price])</f>
        <v>14.5</v>
      </c>
      <c r="J15" s="2">
        <f>_xlfn.XLOOKUP(Fact_Transactions[[#This Row],[Product_SKU]], Dim_Products[Product_SKU], Dim_Products[Unit_Cost])</f>
        <v>4.2</v>
      </c>
      <c r="K15" s="3" cm="1">
        <f t="array" ref="K15">_xlfn.SWITCH(Fact_Transactions[[#This Row],[Discount_Code]], "WELCOME20", 0.2, "B2B15", 0.15, "SUMMER10", 0.1, 0)</f>
        <v>0</v>
      </c>
      <c r="L15" s="2">
        <f>Fact_Transactions[[#This Row],[Quantity_Sold]] * Fact_Transactions[[#This Row],[Base Price]] * (1 - Fact_Transactions[[#This Row],[Discount_Pct]])</f>
        <v>14.5</v>
      </c>
      <c r="M15" s="2">
        <f>Fact_Transactions[[#This Row],[Quantity_Sold]] * Fact_Transactions[[#This Row],[Unit_Cost]]</f>
        <v>4.2</v>
      </c>
      <c r="N15" s="2">
        <f>Fact_Transactions[[#This Row],[Net_Revenue]] - Fact_Transactions[[#This Row],[Total_Cost]]</f>
        <v>10.3</v>
      </c>
      <c r="O15" s="3">
        <f>IFERROR(Fact_Transactions[[#This Row],[Gross_Profit]] / Fact_Transactions[[#This Row],[Net_Revenue]], 0)</f>
        <v>0.71034482758620698</v>
      </c>
    </row>
    <row r="16" spans="1:15" x14ac:dyDescent="0.35">
      <c r="A16" t="s">
        <v>88</v>
      </c>
      <c r="B16" s="1">
        <v>46213</v>
      </c>
      <c r="C16" t="s">
        <v>89</v>
      </c>
      <c r="D16" t="s">
        <v>50</v>
      </c>
      <c r="E16" t="s">
        <v>54</v>
      </c>
      <c r="F16">
        <v>1</v>
      </c>
      <c r="G16" t="s">
        <v>60</v>
      </c>
      <c r="H16" t="str">
        <f>_xlfn.XLOOKUP(Fact_Transactions[[#This Row],[Product_SKU]], Dim_Products[Product_SKU], Dim_Products[Category])</f>
        <v>Equipment</v>
      </c>
      <c r="I16" s="2">
        <f>_xlfn.XLOOKUP(Fact_Transactions[[#This Row],[Product_SKU]], Dim_Products[Product_SKU], Dim_Products[Base_Unit_Price])</f>
        <v>28</v>
      </c>
      <c r="J16" s="2">
        <f>_xlfn.XLOOKUP(Fact_Transactions[[#This Row],[Product_SKU]], Dim_Products[Product_SKU], Dim_Products[Unit_Cost])</f>
        <v>12.5</v>
      </c>
      <c r="K16" s="3" cm="1">
        <f t="array" ref="K16">_xlfn.SWITCH(Fact_Transactions[[#This Row],[Discount_Code]], "WELCOME20", 0.2, "B2B15", 0.15, "SUMMER10", 0.1, 0)</f>
        <v>0.1</v>
      </c>
      <c r="L16" s="2">
        <f>Fact_Transactions[[#This Row],[Quantity_Sold]] * Fact_Transactions[[#This Row],[Base Price]] * (1 - Fact_Transactions[[#This Row],[Discount_Pct]])</f>
        <v>25.2</v>
      </c>
      <c r="M16" s="2">
        <f>Fact_Transactions[[#This Row],[Quantity_Sold]] * Fact_Transactions[[#This Row],[Unit_Cost]]</f>
        <v>12.5</v>
      </c>
      <c r="N16" s="2">
        <f>Fact_Transactions[[#This Row],[Net_Revenue]] - Fact_Transactions[[#This Row],[Total_Cost]]</f>
        <v>12.7</v>
      </c>
      <c r="O16" s="3">
        <f>IFERROR(Fact_Transactions[[#This Row],[Gross_Profit]] / Fact_Transactions[[#This Row],[Net_Revenue]], 0)</f>
        <v>0.50396825396825395</v>
      </c>
    </row>
    <row r="17" spans="1:15" x14ac:dyDescent="0.35">
      <c r="A17" t="s">
        <v>90</v>
      </c>
      <c r="B17" s="1">
        <v>46214</v>
      </c>
      <c r="C17" t="s">
        <v>71</v>
      </c>
      <c r="D17" t="s">
        <v>58</v>
      </c>
      <c r="E17" t="s">
        <v>75</v>
      </c>
      <c r="F17">
        <v>2</v>
      </c>
      <c r="H17" t="str">
        <f>_xlfn.XLOOKUP(Fact_Transactions[[#This Row],[Product_SKU]], Dim_Products[Product_SKU], Dim_Products[Category])</f>
        <v>Coffee Beans</v>
      </c>
      <c r="I17" s="2">
        <f>_xlfn.XLOOKUP(Fact_Transactions[[#This Row],[Product_SKU]], Dim_Products[Product_SKU], Dim_Products[Base_Unit_Price])</f>
        <v>13.5</v>
      </c>
      <c r="J17" s="2">
        <f>_xlfn.XLOOKUP(Fact_Transactions[[#This Row],[Product_SKU]], Dim_Products[Product_SKU], Dim_Products[Unit_Cost])</f>
        <v>4</v>
      </c>
      <c r="K17" s="3" cm="1">
        <f t="array" ref="K17">_xlfn.SWITCH(Fact_Transactions[[#This Row],[Discount_Code]], "WELCOME20", 0.2, "B2B15", 0.15, "SUMMER10", 0.1, 0)</f>
        <v>0</v>
      </c>
      <c r="L17" s="2">
        <f>Fact_Transactions[[#This Row],[Quantity_Sold]] * Fact_Transactions[[#This Row],[Base Price]] * (1 - Fact_Transactions[[#This Row],[Discount_Pct]])</f>
        <v>27</v>
      </c>
      <c r="M17" s="2">
        <f>Fact_Transactions[[#This Row],[Quantity_Sold]] * Fact_Transactions[[#This Row],[Unit_Cost]]</f>
        <v>8</v>
      </c>
      <c r="N17" s="2">
        <f>Fact_Transactions[[#This Row],[Net_Revenue]] - Fact_Transactions[[#This Row],[Total_Cost]]</f>
        <v>19</v>
      </c>
      <c r="O17" s="3">
        <f>IFERROR(Fact_Transactions[[#This Row],[Gross_Profit]] / Fact_Transactions[[#This Row],[Net_Revenue]], 0)</f>
        <v>0.70370370370370372</v>
      </c>
    </row>
    <row r="18" spans="1:15" x14ac:dyDescent="0.35">
      <c r="A18" t="s">
        <v>91</v>
      </c>
      <c r="B18" s="1">
        <v>46215</v>
      </c>
      <c r="C18" t="s">
        <v>92</v>
      </c>
      <c r="D18" t="s">
        <v>50</v>
      </c>
      <c r="E18" t="s">
        <v>63</v>
      </c>
      <c r="F18">
        <v>6</v>
      </c>
      <c r="H18" t="str">
        <f>_xlfn.XLOOKUP(Fact_Transactions[[#This Row],[Product_SKU]], Dim_Products[Product_SKU], Dim_Products[Category])</f>
        <v>Pantry</v>
      </c>
      <c r="I18" s="2">
        <f>_xlfn.XLOOKUP(Fact_Transactions[[#This Row],[Product_SKU]], Dim_Products[Product_SKU], Dim_Products[Base_Unit_Price])</f>
        <v>4.5</v>
      </c>
      <c r="J18" s="2">
        <f>_xlfn.XLOOKUP(Fact_Transactions[[#This Row],[Product_SKU]], Dim_Products[Product_SKU], Dim_Products[Unit_Cost])</f>
        <v>1.8</v>
      </c>
      <c r="K18" s="3" cm="1">
        <f t="array" ref="K18">_xlfn.SWITCH(Fact_Transactions[[#This Row],[Discount_Code]], "WELCOME20", 0.2, "B2B15", 0.15, "SUMMER10", 0.1, 0)</f>
        <v>0</v>
      </c>
      <c r="L18" s="2">
        <f>Fact_Transactions[[#This Row],[Quantity_Sold]] * Fact_Transactions[[#This Row],[Base Price]] * (1 - Fact_Transactions[[#This Row],[Discount_Pct]])</f>
        <v>27</v>
      </c>
      <c r="M18" s="2">
        <f>Fact_Transactions[[#This Row],[Quantity_Sold]] * Fact_Transactions[[#This Row],[Unit_Cost]]</f>
        <v>10.8</v>
      </c>
      <c r="N18" s="2">
        <f>Fact_Transactions[[#This Row],[Net_Revenue]] - Fact_Transactions[[#This Row],[Total_Cost]]</f>
        <v>16.2</v>
      </c>
      <c r="O18" s="3">
        <f>IFERROR(Fact_Transactions[[#This Row],[Gross_Profit]] / Fact_Transactions[[#This Row],[Net_Revenue]], 0)</f>
        <v>0.6</v>
      </c>
    </row>
    <row r="19" spans="1:15" x14ac:dyDescent="0.35">
      <c r="A19" t="s">
        <v>93</v>
      </c>
      <c r="B19" s="1">
        <v>46216</v>
      </c>
      <c r="C19" t="s">
        <v>49</v>
      </c>
      <c r="D19" t="s">
        <v>50</v>
      </c>
      <c r="E19" t="s">
        <v>59</v>
      </c>
      <c r="F19">
        <v>1</v>
      </c>
      <c r="H19" t="str">
        <f>_xlfn.XLOOKUP(Fact_Transactions[[#This Row],[Product_SKU]], Dim_Products[Product_SKU], Dim_Products[Category])</f>
        <v>Coffee Beans</v>
      </c>
      <c r="I19" s="2">
        <f>_xlfn.XLOOKUP(Fact_Transactions[[#This Row],[Product_SKU]], Dim_Products[Product_SKU], Dim_Products[Base_Unit_Price])</f>
        <v>16</v>
      </c>
      <c r="J19" s="2">
        <f>_xlfn.XLOOKUP(Fact_Transactions[[#This Row],[Product_SKU]], Dim_Products[Product_SKU], Dim_Products[Unit_Cost])</f>
        <v>5.0999999999999996</v>
      </c>
      <c r="K19" s="3" cm="1">
        <f t="array" ref="K19">_xlfn.SWITCH(Fact_Transactions[[#This Row],[Discount_Code]], "WELCOME20", 0.2, "B2B15", 0.15, "SUMMER10", 0.1, 0)</f>
        <v>0</v>
      </c>
      <c r="L19" s="2">
        <f>Fact_Transactions[[#This Row],[Quantity_Sold]] * Fact_Transactions[[#This Row],[Base Price]] * (1 - Fact_Transactions[[#This Row],[Discount_Pct]])</f>
        <v>16</v>
      </c>
      <c r="M19" s="2">
        <f>Fact_Transactions[[#This Row],[Quantity_Sold]] * Fact_Transactions[[#This Row],[Unit_Cost]]</f>
        <v>5.0999999999999996</v>
      </c>
      <c r="N19" s="2">
        <f>Fact_Transactions[[#This Row],[Net_Revenue]] - Fact_Transactions[[#This Row],[Total_Cost]]</f>
        <v>10.9</v>
      </c>
      <c r="O19" s="3">
        <f>IFERROR(Fact_Transactions[[#This Row],[Gross_Profit]] / Fact_Transactions[[#This Row],[Net_Revenue]], 0)</f>
        <v>0.68125000000000002</v>
      </c>
    </row>
    <row r="20" spans="1:15" x14ac:dyDescent="0.35">
      <c r="A20" t="s">
        <v>94</v>
      </c>
      <c r="B20" s="1">
        <v>46217</v>
      </c>
      <c r="C20" t="s">
        <v>65</v>
      </c>
      <c r="D20" t="s">
        <v>66</v>
      </c>
      <c r="E20" t="s">
        <v>63</v>
      </c>
      <c r="F20">
        <v>30</v>
      </c>
      <c r="G20" t="s">
        <v>67</v>
      </c>
      <c r="H20" t="str">
        <f>_xlfn.XLOOKUP(Fact_Transactions[[#This Row],[Product_SKU]], Dim_Products[Product_SKU], Dim_Products[Category])</f>
        <v>Pantry</v>
      </c>
      <c r="I20" s="2">
        <f>_xlfn.XLOOKUP(Fact_Transactions[[#This Row],[Product_SKU]], Dim_Products[Product_SKU], Dim_Products[Base_Unit_Price])</f>
        <v>4.5</v>
      </c>
      <c r="J20" s="2">
        <f>_xlfn.XLOOKUP(Fact_Transactions[[#This Row],[Product_SKU]], Dim_Products[Product_SKU], Dim_Products[Unit_Cost])</f>
        <v>1.8</v>
      </c>
      <c r="K20" s="3" cm="1">
        <f t="array" ref="K20">_xlfn.SWITCH(Fact_Transactions[[#This Row],[Discount_Code]], "WELCOME20", 0.2, "B2B15", 0.15, "SUMMER10", 0.1, 0)</f>
        <v>0.15</v>
      </c>
      <c r="L20" s="2">
        <f>Fact_Transactions[[#This Row],[Quantity_Sold]] * Fact_Transactions[[#This Row],[Base Price]] * (1 - Fact_Transactions[[#This Row],[Discount_Pct]])</f>
        <v>114.75</v>
      </c>
      <c r="M20" s="2">
        <f>Fact_Transactions[[#This Row],[Quantity_Sold]] * Fact_Transactions[[#This Row],[Unit_Cost]]</f>
        <v>54</v>
      </c>
      <c r="N20" s="2">
        <f>Fact_Transactions[[#This Row],[Net_Revenue]] - Fact_Transactions[[#This Row],[Total_Cost]]</f>
        <v>60.75</v>
      </c>
      <c r="O20" s="3">
        <f>IFERROR(Fact_Transactions[[#This Row],[Gross_Profit]] / Fact_Transactions[[#This Row],[Net_Revenue]], 0)</f>
        <v>0.52941176470588236</v>
      </c>
    </row>
    <row r="21" spans="1:15" x14ac:dyDescent="0.35">
      <c r="A21" t="s">
        <v>95</v>
      </c>
      <c r="B21" s="1">
        <v>46218</v>
      </c>
      <c r="C21" t="s">
        <v>96</v>
      </c>
      <c r="D21" t="s">
        <v>58</v>
      </c>
      <c r="E21" t="s">
        <v>72</v>
      </c>
      <c r="F21">
        <v>2</v>
      </c>
      <c r="G21" t="s">
        <v>55</v>
      </c>
      <c r="H21" t="str">
        <f>_xlfn.XLOOKUP(Fact_Transactions[[#This Row],[Product_SKU]], Dim_Products[Product_SKU], Dim_Products[Category])</f>
        <v>Equipment</v>
      </c>
      <c r="I21" s="2">
        <f>_xlfn.XLOOKUP(Fact_Transactions[[#This Row],[Product_SKU]], Dim_Products[Product_SKU], Dim_Products[Base_Unit_Price])</f>
        <v>45</v>
      </c>
      <c r="J21" s="2">
        <f>_xlfn.XLOOKUP(Fact_Transactions[[#This Row],[Product_SKU]], Dim_Products[Product_SKU], Dim_Products[Unit_Cost])</f>
        <v>22</v>
      </c>
      <c r="K21" s="3" cm="1">
        <f t="array" ref="K21">_xlfn.SWITCH(Fact_Transactions[[#This Row],[Discount_Code]], "WELCOME20", 0.2, "B2B15", 0.15, "SUMMER10", 0.1, 0)</f>
        <v>0.2</v>
      </c>
      <c r="L21" s="2">
        <f>Fact_Transactions[[#This Row],[Quantity_Sold]] * Fact_Transactions[[#This Row],[Base Price]] * (1 - Fact_Transactions[[#This Row],[Discount_Pct]])</f>
        <v>72</v>
      </c>
      <c r="M21" s="2">
        <f>Fact_Transactions[[#This Row],[Quantity_Sold]] * Fact_Transactions[[#This Row],[Unit_Cost]]</f>
        <v>44</v>
      </c>
      <c r="N21" s="2">
        <f>Fact_Transactions[[#This Row],[Net_Revenue]] - Fact_Transactions[[#This Row],[Total_Cost]]</f>
        <v>28</v>
      </c>
      <c r="O21" s="3">
        <f>IFERROR(Fact_Transactions[[#This Row],[Gross_Profit]] / Fact_Transactions[[#This Row],[Net_Revenue]], 0)</f>
        <v>0.3888888888888889</v>
      </c>
    </row>
    <row r="22" spans="1:15" x14ac:dyDescent="0.35">
      <c r="A22" t="s">
        <v>97</v>
      </c>
      <c r="B22" s="1">
        <v>46219</v>
      </c>
      <c r="C22" t="s">
        <v>53</v>
      </c>
      <c r="D22" t="s">
        <v>58</v>
      </c>
      <c r="E22" t="s">
        <v>69</v>
      </c>
      <c r="F22">
        <v>2</v>
      </c>
      <c r="H22" t="str">
        <f>_xlfn.XLOOKUP(Fact_Transactions[[#This Row],[Product_SKU]], Dim_Products[Product_SKU], Dim_Products[Category])</f>
        <v>Merchandise</v>
      </c>
      <c r="I22" s="2">
        <f>_xlfn.XLOOKUP(Fact_Transactions[[#This Row],[Product_SKU]], Dim_Products[Product_SKU], Dim_Products[Base_Unit_Price])</f>
        <v>12</v>
      </c>
      <c r="J22" s="2">
        <f>_xlfn.XLOOKUP(Fact_Transactions[[#This Row],[Product_SKU]], Dim_Products[Product_SKU], Dim_Products[Unit_Cost])</f>
        <v>3.2</v>
      </c>
      <c r="K22" s="3" cm="1">
        <f t="array" ref="K22">_xlfn.SWITCH(Fact_Transactions[[#This Row],[Discount_Code]], "WELCOME20", 0.2, "B2B15", 0.15, "SUMMER10", 0.1, 0)</f>
        <v>0</v>
      </c>
      <c r="L22" s="2">
        <f>Fact_Transactions[[#This Row],[Quantity_Sold]] * Fact_Transactions[[#This Row],[Base Price]] * (1 - Fact_Transactions[[#This Row],[Discount_Pct]])</f>
        <v>24</v>
      </c>
      <c r="M22" s="2">
        <f>Fact_Transactions[[#This Row],[Quantity_Sold]] * Fact_Transactions[[#This Row],[Unit_Cost]]</f>
        <v>6.4</v>
      </c>
      <c r="N22" s="2">
        <f>Fact_Transactions[[#This Row],[Net_Revenue]] - Fact_Transactions[[#This Row],[Total_Cost]]</f>
        <v>17.600000000000001</v>
      </c>
      <c r="O22" s="3">
        <f>IFERROR(Fact_Transactions[[#This Row],[Gross_Profit]] / Fact_Transactions[[#This Row],[Net_Revenue]], 0)</f>
        <v>0.73333333333333339</v>
      </c>
    </row>
    <row r="23" spans="1:15" x14ac:dyDescent="0.35">
      <c r="A23" t="s">
        <v>98</v>
      </c>
      <c r="B23" s="1">
        <v>46220</v>
      </c>
      <c r="C23" t="s">
        <v>99</v>
      </c>
      <c r="D23" t="s">
        <v>50</v>
      </c>
      <c r="E23" t="s">
        <v>51</v>
      </c>
      <c r="F23">
        <v>1</v>
      </c>
      <c r="H23" t="str">
        <f>_xlfn.XLOOKUP(Fact_Transactions[[#This Row],[Product_SKU]], Dim_Products[Product_SKU], Dim_Products[Category])</f>
        <v>Coffee Beans</v>
      </c>
      <c r="I23" s="2">
        <f>_xlfn.XLOOKUP(Fact_Transactions[[#This Row],[Product_SKU]], Dim_Products[Product_SKU], Dim_Products[Base_Unit_Price])</f>
        <v>14.5</v>
      </c>
      <c r="J23" s="2">
        <f>_xlfn.XLOOKUP(Fact_Transactions[[#This Row],[Product_SKU]], Dim_Products[Product_SKU], Dim_Products[Unit_Cost])</f>
        <v>4.2</v>
      </c>
      <c r="K23" s="3" cm="1">
        <f t="array" ref="K23">_xlfn.SWITCH(Fact_Transactions[[#This Row],[Discount_Code]], "WELCOME20", 0.2, "B2B15", 0.15, "SUMMER10", 0.1, 0)</f>
        <v>0</v>
      </c>
      <c r="L23" s="2">
        <f>Fact_Transactions[[#This Row],[Quantity_Sold]] * Fact_Transactions[[#This Row],[Base Price]] * (1 - Fact_Transactions[[#This Row],[Discount_Pct]])</f>
        <v>14.5</v>
      </c>
      <c r="M23" s="2">
        <f>Fact_Transactions[[#This Row],[Quantity_Sold]] * Fact_Transactions[[#This Row],[Unit_Cost]]</f>
        <v>4.2</v>
      </c>
      <c r="N23" s="2">
        <f>Fact_Transactions[[#This Row],[Net_Revenue]] - Fact_Transactions[[#This Row],[Total_Cost]]</f>
        <v>10.3</v>
      </c>
      <c r="O23" s="3">
        <f>IFERROR(Fact_Transactions[[#This Row],[Gross_Profit]] / Fact_Transactions[[#This Row],[Net_Revenue]], 0)</f>
        <v>0.71034482758620698</v>
      </c>
    </row>
    <row r="24" spans="1:15" x14ac:dyDescent="0.35">
      <c r="A24" t="s">
        <v>100</v>
      </c>
      <c r="B24" s="1">
        <v>46221</v>
      </c>
      <c r="C24" t="s">
        <v>101</v>
      </c>
      <c r="D24" t="s">
        <v>58</v>
      </c>
      <c r="E24" t="s">
        <v>79</v>
      </c>
      <c r="F24">
        <v>1</v>
      </c>
      <c r="G24" t="s">
        <v>60</v>
      </c>
      <c r="H24" t="str">
        <f>_xlfn.XLOOKUP(Fact_Transactions[[#This Row],[Product_SKU]], Dim_Products[Product_SKU], Dim_Products[Category])</f>
        <v>Pantry</v>
      </c>
      <c r="I24" s="2">
        <f>_xlfn.XLOOKUP(Fact_Transactions[[#This Row],[Product_SKU]], Dim_Products[Product_SKU], Dim_Products[Base_Unit_Price])</f>
        <v>7</v>
      </c>
      <c r="J24" s="2">
        <f>_xlfn.XLOOKUP(Fact_Transactions[[#This Row],[Product_SKU]], Dim_Products[Product_SKU], Dim_Products[Unit_Cost])</f>
        <v>3.1</v>
      </c>
      <c r="K24" s="3" cm="1">
        <f t="array" ref="K24">_xlfn.SWITCH(Fact_Transactions[[#This Row],[Discount_Code]], "WELCOME20", 0.2, "B2B15", 0.15, "SUMMER10", 0.1, 0)</f>
        <v>0.1</v>
      </c>
      <c r="L24" s="2">
        <f>Fact_Transactions[[#This Row],[Quantity_Sold]] * Fact_Transactions[[#This Row],[Base Price]] * (1 - Fact_Transactions[[#This Row],[Discount_Pct]])</f>
        <v>6.3</v>
      </c>
      <c r="M24" s="2">
        <f>Fact_Transactions[[#This Row],[Quantity_Sold]] * Fact_Transactions[[#This Row],[Unit_Cost]]</f>
        <v>3.1</v>
      </c>
      <c r="N24" s="2">
        <f>Fact_Transactions[[#This Row],[Net_Revenue]] - Fact_Transactions[[#This Row],[Total_Cost]]</f>
        <v>3.1999999999999997</v>
      </c>
      <c r="O24" s="3">
        <f>IFERROR(Fact_Transactions[[#This Row],[Gross_Profit]] / Fact_Transactions[[#This Row],[Net_Revenue]], 0)</f>
        <v>0.50793650793650791</v>
      </c>
    </row>
    <row r="25" spans="1:15" x14ac:dyDescent="0.35">
      <c r="A25" t="s">
        <v>102</v>
      </c>
      <c r="B25" s="1">
        <v>46221</v>
      </c>
      <c r="C25" t="s">
        <v>57</v>
      </c>
      <c r="D25" t="s">
        <v>58</v>
      </c>
      <c r="E25" t="s">
        <v>82</v>
      </c>
      <c r="F25">
        <v>1</v>
      </c>
      <c r="H25" t="str">
        <f>_xlfn.XLOOKUP(Fact_Transactions[[#This Row],[Product_SKU]], Dim_Products[Product_SKU], Dim_Products[Category])</f>
        <v>Equipment</v>
      </c>
      <c r="I25" s="2">
        <f>_xlfn.XLOOKUP(Fact_Transactions[[#This Row],[Product_SKU]], Dim_Products[Product_SKU], Dim_Products[Base_Unit_Price])</f>
        <v>20</v>
      </c>
      <c r="J25" s="2">
        <f>_xlfn.XLOOKUP(Fact_Transactions[[#This Row],[Product_SKU]], Dim_Products[Product_SKU], Dim_Products[Unit_Cost])</f>
        <v>8</v>
      </c>
      <c r="K25" s="3" cm="1">
        <f t="array" ref="K25">_xlfn.SWITCH(Fact_Transactions[[#This Row],[Discount_Code]], "WELCOME20", 0.2, "B2B15", 0.15, "SUMMER10", 0.1, 0)</f>
        <v>0</v>
      </c>
      <c r="L25" s="2">
        <f>Fact_Transactions[[#This Row],[Quantity_Sold]] * Fact_Transactions[[#This Row],[Base Price]] * (1 - Fact_Transactions[[#This Row],[Discount_Pct]])</f>
        <v>20</v>
      </c>
      <c r="M25" s="2">
        <f>Fact_Transactions[[#This Row],[Quantity_Sold]] * Fact_Transactions[[#This Row],[Unit_Cost]]</f>
        <v>8</v>
      </c>
      <c r="N25" s="2">
        <f>Fact_Transactions[[#This Row],[Net_Revenue]] - Fact_Transactions[[#This Row],[Total_Cost]]</f>
        <v>12</v>
      </c>
      <c r="O25" s="3">
        <f>IFERROR(Fact_Transactions[[#This Row],[Gross_Profit]] / Fact_Transactions[[#This Row],[Net_Revenue]], 0)</f>
        <v>0.6</v>
      </c>
    </row>
    <row r="26" spans="1:15" x14ac:dyDescent="0.35">
      <c r="A26" t="s">
        <v>103</v>
      </c>
      <c r="B26" s="1">
        <v>46222</v>
      </c>
      <c r="C26" t="s">
        <v>104</v>
      </c>
      <c r="D26" t="s">
        <v>50</v>
      </c>
      <c r="E26" t="s">
        <v>75</v>
      </c>
      <c r="F26">
        <v>3</v>
      </c>
      <c r="H26" t="str">
        <f>_xlfn.XLOOKUP(Fact_Transactions[[#This Row],[Product_SKU]], Dim_Products[Product_SKU], Dim_Products[Category])</f>
        <v>Coffee Beans</v>
      </c>
      <c r="I26" s="2">
        <f>_xlfn.XLOOKUP(Fact_Transactions[[#This Row],[Product_SKU]], Dim_Products[Product_SKU], Dim_Products[Base_Unit_Price])</f>
        <v>13.5</v>
      </c>
      <c r="J26" s="2">
        <f>_xlfn.XLOOKUP(Fact_Transactions[[#This Row],[Product_SKU]], Dim_Products[Product_SKU], Dim_Products[Unit_Cost])</f>
        <v>4</v>
      </c>
      <c r="K26" s="3" cm="1">
        <f t="array" ref="K26">_xlfn.SWITCH(Fact_Transactions[[#This Row],[Discount_Code]], "WELCOME20", 0.2, "B2B15", 0.15, "SUMMER10", 0.1, 0)</f>
        <v>0</v>
      </c>
      <c r="L26" s="2">
        <f>Fact_Transactions[[#This Row],[Quantity_Sold]] * Fact_Transactions[[#This Row],[Base Price]] * (1 - Fact_Transactions[[#This Row],[Discount_Pct]])</f>
        <v>40.5</v>
      </c>
      <c r="M26" s="2">
        <f>Fact_Transactions[[#This Row],[Quantity_Sold]] * Fact_Transactions[[#This Row],[Unit_Cost]]</f>
        <v>12</v>
      </c>
      <c r="N26" s="2">
        <f>Fact_Transactions[[#This Row],[Net_Revenue]] - Fact_Transactions[[#This Row],[Total_Cost]]</f>
        <v>28.5</v>
      </c>
      <c r="O26" s="3">
        <f>IFERROR(Fact_Transactions[[#This Row],[Gross_Profit]] / Fact_Transactions[[#This Row],[Net_Revenue]], 0)</f>
        <v>0.70370370370370372</v>
      </c>
    </row>
    <row r="27" spans="1:15" x14ac:dyDescent="0.35">
      <c r="A27" t="s">
        <v>105</v>
      </c>
      <c r="B27" s="1">
        <v>46223</v>
      </c>
      <c r="C27" t="s">
        <v>65</v>
      </c>
      <c r="D27" t="s">
        <v>66</v>
      </c>
      <c r="E27" t="s">
        <v>54</v>
      </c>
      <c r="F27">
        <v>5</v>
      </c>
      <c r="G27" t="s">
        <v>67</v>
      </c>
      <c r="H27" t="str">
        <f>_xlfn.XLOOKUP(Fact_Transactions[[#This Row],[Product_SKU]], Dim_Products[Product_SKU], Dim_Products[Category])</f>
        <v>Equipment</v>
      </c>
      <c r="I27" s="2">
        <f>_xlfn.XLOOKUP(Fact_Transactions[[#This Row],[Product_SKU]], Dim_Products[Product_SKU], Dim_Products[Base_Unit_Price])</f>
        <v>28</v>
      </c>
      <c r="J27" s="2">
        <f>_xlfn.XLOOKUP(Fact_Transactions[[#This Row],[Product_SKU]], Dim_Products[Product_SKU], Dim_Products[Unit_Cost])</f>
        <v>12.5</v>
      </c>
      <c r="K27" s="3" cm="1">
        <f t="array" ref="K27">_xlfn.SWITCH(Fact_Transactions[[#This Row],[Discount_Code]], "WELCOME20", 0.2, "B2B15", 0.15, "SUMMER10", 0.1, 0)</f>
        <v>0.15</v>
      </c>
      <c r="L27" s="2">
        <f>Fact_Transactions[[#This Row],[Quantity_Sold]] * Fact_Transactions[[#This Row],[Base Price]] * (1 - Fact_Transactions[[#This Row],[Discount_Pct]])</f>
        <v>119</v>
      </c>
      <c r="M27" s="2">
        <f>Fact_Transactions[[#This Row],[Quantity_Sold]] * Fact_Transactions[[#This Row],[Unit_Cost]]</f>
        <v>62.5</v>
      </c>
      <c r="N27" s="2">
        <f>Fact_Transactions[[#This Row],[Net_Revenue]] - Fact_Transactions[[#This Row],[Total_Cost]]</f>
        <v>56.5</v>
      </c>
      <c r="O27" s="3">
        <f>IFERROR(Fact_Transactions[[#This Row],[Gross_Profit]] / Fact_Transactions[[#This Row],[Net_Revenue]], 0)</f>
        <v>0.47478991596638653</v>
      </c>
    </row>
    <row r="28" spans="1:15" x14ac:dyDescent="0.35">
      <c r="A28" t="s">
        <v>106</v>
      </c>
      <c r="B28" s="1">
        <v>46224</v>
      </c>
      <c r="C28" t="s">
        <v>107</v>
      </c>
      <c r="D28" t="s">
        <v>58</v>
      </c>
      <c r="E28" t="s">
        <v>86</v>
      </c>
      <c r="F28">
        <v>4</v>
      </c>
      <c r="G28" t="s">
        <v>55</v>
      </c>
      <c r="H28" t="str">
        <f>_xlfn.XLOOKUP(Fact_Transactions[[#This Row],[Product_SKU]], Dim_Products[Product_SKU], Dim_Products[Category])</f>
        <v>Merchandise</v>
      </c>
      <c r="I28" s="2">
        <f>_xlfn.XLOOKUP(Fact_Transactions[[#This Row],[Product_SKU]], Dim_Products[Product_SKU], Dim_Products[Base_Unit_Price])</f>
        <v>8.5</v>
      </c>
      <c r="J28" s="2">
        <f>_xlfn.XLOOKUP(Fact_Transactions[[#This Row],[Product_SKU]], Dim_Products[Product_SKU], Dim_Products[Unit_Cost])</f>
        <v>2.5</v>
      </c>
      <c r="K28" s="3" cm="1">
        <f t="array" ref="K28">_xlfn.SWITCH(Fact_Transactions[[#This Row],[Discount_Code]], "WELCOME20", 0.2, "B2B15", 0.15, "SUMMER10", 0.1, 0)</f>
        <v>0.2</v>
      </c>
      <c r="L28" s="2">
        <f>Fact_Transactions[[#This Row],[Quantity_Sold]] * Fact_Transactions[[#This Row],[Base Price]] * (1 - Fact_Transactions[[#This Row],[Discount_Pct]])</f>
        <v>27.200000000000003</v>
      </c>
      <c r="M28" s="2">
        <f>Fact_Transactions[[#This Row],[Quantity_Sold]] * Fact_Transactions[[#This Row],[Unit_Cost]]</f>
        <v>10</v>
      </c>
      <c r="N28" s="2">
        <f>Fact_Transactions[[#This Row],[Net_Revenue]] - Fact_Transactions[[#This Row],[Total_Cost]]</f>
        <v>17.200000000000003</v>
      </c>
      <c r="O28" s="3">
        <f>IFERROR(Fact_Transactions[[#This Row],[Gross_Profit]] / Fact_Transactions[[#This Row],[Net_Revenue]], 0)</f>
        <v>0.63235294117647067</v>
      </c>
    </row>
    <row r="29" spans="1:15" x14ac:dyDescent="0.35">
      <c r="A29" t="s">
        <v>108</v>
      </c>
      <c r="B29" s="1">
        <v>46225</v>
      </c>
      <c r="C29" t="s">
        <v>71</v>
      </c>
      <c r="D29" t="s">
        <v>50</v>
      </c>
      <c r="E29" t="s">
        <v>51</v>
      </c>
      <c r="F29">
        <v>2</v>
      </c>
      <c r="H29" t="str">
        <f>_xlfn.XLOOKUP(Fact_Transactions[[#This Row],[Product_SKU]], Dim_Products[Product_SKU], Dim_Products[Category])</f>
        <v>Coffee Beans</v>
      </c>
      <c r="I29" s="2">
        <f>_xlfn.XLOOKUP(Fact_Transactions[[#This Row],[Product_SKU]], Dim_Products[Product_SKU], Dim_Products[Base_Unit_Price])</f>
        <v>14.5</v>
      </c>
      <c r="J29" s="2">
        <f>_xlfn.XLOOKUP(Fact_Transactions[[#This Row],[Product_SKU]], Dim_Products[Product_SKU], Dim_Products[Unit_Cost])</f>
        <v>4.2</v>
      </c>
      <c r="K29" s="3" cm="1">
        <f t="array" ref="K29">_xlfn.SWITCH(Fact_Transactions[[#This Row],[Discount_Code]], "WELCOME20", 0.2, "B2B15", 0.15, "SUMMER10", 0.1, 0)</f>
        <v>0</v>
      </c>
      <c r="L29" s="2">
        <f>Fact_Transactions[[#This Row],[Quantity_Sold]] * Fact_Transactions[[#This Row],[Base Price]] * (1 - Fact_Transactions[[#This Row],[Discount_Pct]])</f>
        <v>29</v>
      </c>
      <c r="M29" s="2">
        <f>Fact_Transactions[[#This Row],[Quantity_Sold]] * Fact_Transactions[[#This Row],[Unit_Cost]]</f>
        <v>8.4</v>
      </c>
      <c r="N29" s="2">
        <f>Fact_Transactions[[#This Row],[Net_Revenue]] - Fact_Transactions[[#This Row],[Total_Cost]]</f>
        <v>20.6</v>
      </c>
      <c r="O29" s="3">
        <f>IFERROR(Fact_Transactions[[#This Row],[Gross_Profit]] / Fact_Transactions[[#This Row],[Net_Revenue]], 0)</f>
        <v>0.71034482758620698</v>
      </c>
    </row>
    <row r="30" spans="1:15" x14ac:dyDescent="0.35">
      <c r="A30" t="s">
        <v>109</v>
      </c>
      <c r="B30" s="1">
        <v>46226</v>
      </c>
      <c r="C30" t="s">
        <v>110</v>
      </c>
      <c r="D30" t="s">
        <v>58</v>
      </c>
      <c r="E30" t="s">
        <v>59</v>
      </c>
      <c r="F30">
        <v>1</v>
      </c>
      <c r="G30" t="s">
        <v>60</v>
      </c>
      <c r="H30" t="str">
        <f>_xlfn.XLOOKUP(Fact_Transactions[[#This Row],[Product_SKU]], Dim_Products[Product_SKU], Dim_Products[Category])</f>
        <v>Coffee Beans</v>
      </c>
      <c r="I30" s="2">
        <f>_xlfn.XLOOKUP(Fact_Transactions[[#This Row],[Product_SKU]], Dim_Products[Product_SKU], Dim_Products[Base_Unit_Price])</f>
        <v>16</v>
      </c>
      <c r="J30" s="2">
        <f>_xlfn.XLOOKUP(Fact_Transactions[[#This Row],[Product_SKU]], Dim_Products[Product_SKU], Dim_Products[Unit_Cost])</f>
        <v>5.0999999999999996</v>
      </c>
      <c r="K30" s="3" cm="1">
        <f t="array" ref="K30">_xlfn.SWITCH(Fact_Transactions[[#This Row],[Discount_Code]], "WELCOME20", 0.2, "B2B15", 0.15, "SUMMER10", 0.1, 0)</f>
        <v>0.1</v>
      </c>
      <c r="L30" s="2">
        <f>Fact_Transactions[[#This Row],[Quantity_Sold]] * Fact_Transactions[[#This Row],[Base Price]] * (1 - Fact_Transactions[[#This Row],[Discount_Pct]])</f>
        <v>14.4</v>
      </c>
      <c r="M30" s="2">
        <f>Fact_Transactions[[#This Row],[Quantity_Sold]] * Fact_Transactions[[#This Row],[Unit_Cost]]</f>
        <v>5.0999999999999996</v>
      </c>
      <c r="N30" s="2">
        <f>Fact_Transactions[[#This Row],[Net_Revenue]] - Fact_Transactions[[#This Row],[Total_Cost]]</f>
        <v>9.3000000000000007</v>
      </c>
      <c r="O30" s="3">
        <f>IFERROR(Fact_Transactions[[#This Row],[Gross_Profit]] / Fact_Transactions[[#This Row],[Net_Revenue]], 0)</f>
        <v>0.64583333333333337</v>
      </c>
    </row>
    <row r="31" spans="1:15" x14ac:dyDescent="0.35">
      <c r="A31" t="s">
        <v>111</v>
      </c>
      <c r="B31" s="1">
        <v>46227</v>
      </c>
      <c r="C31" t="s">
        <v>112</v>
      </c>
      <c r="D31" t="s">
        <v>50</v>
      </c>
      <c r="E31" t="s">
        <v>72</v>
      </c>
      <c r="F31">
        <v>1</v>
      </c>
      <c r="H31" t="str">
        <f>_xlfn.XLOOKUP(Fact_Transactions[[#This Row],[Product_SKU]], Dim_Products[Product_SKU], Dim_Products[Category])</f>
        <v>Equipment</v>
      </c>
      <c r="I31" s="2">
        <f>_xlfn.XLOOKUP(Fact_Transactions[[#This Row],[Product_SKU]], Dim_Products[Product_SKU], Dim_Products[Base_Unit_Price])</f>
        <v>45</v>
      </c>
      <c r="J31" s="2">
        <f>_xlfn.XLOOKUP(Fact_Transactions[[#This Row],[Product_SKU]], Dim_Products[Product_SKU], Dim_Products[Unit_Cost])</f>
        <v>22</v>
      </c>
      <c r="K31" s="3" cm="1">
        <f t="array" ref="K31">_xlfn.SWITCH(Fact_Transactions[[#This Row],[Discount_Code]], "WELCOME20", 0.2, "B2B15", 0.15, "SUMMER10", 0.1, 0)</f>
        <v>0</v>
      </c>
      <c r="L31" s="2">
        <f>Fact_Transactions[[#This Row],[Quantity_Sold]] * Fact_Transactions[[#This Row],[Base Price]] * (1 - Fact_Transactions[[#This Row],[Discount_Pct]])</f>
        <v>45</v>
      </c>
      <c r="M31" s="2">
        <f>Fact_Transactions[[#This Row],[Quantity_Sold]] * Fact_Transactions[[#This Row],[Unit_Cost]]</f>
        <v>22</v>
      </c>
      <c r="N31" s="2">
        <f>Fact_Transactions[[#This Row],[Net_Revenue]] - Fact_Transactions[[#This Row],[Total_Cost]]</f>
        <v>23</v>
      </c>
      <c r="O31" s="3">
        <f>IFERROR(Fact_Transactions[[#This Row],[Gross_Profit]] / Fact_Transactions[[#This Row],[Net_Revenue]], 0)</f>
        <v>0.51111111111111107</v>
      </c>
    </row>
    <row r="32" spans="1:15" x14ac:dyDescent="0.35">
      <c r="A32" t="s">
        <v>113</v>
      </c>
      <c r="B32" s="1">
        <v>46228</v>
      </c>
      <c r="C32" t="s">
        <v>49</v>
      </c>
      <c r="D32" t="s">
        <v>58</v>
      </c>
      <c r="E32" t="s">
        <v>51</v>
      </c>
      <c r="F32">
        <v>2</v>
      </c>
      <c r="G32" t="s">
        <v>60</v>
      </c>
      <c r="H32" t="str">
        <f>_xlfn.XLOOKUP(Fact_Transactions[[#This Row],[Product_SKU]], Dim_Products[Product_SKU], Dim_Products[Category])</f>
        <v>Coffee Beans</v>
      </c>
      <c r="I32" s="2">
        <f>_xlfn.XLOOKUP(Fact_Transactions[[#This Row],[Product_SKU]], Dim_Products[Product_SKU], Dim_Products[Base_Unit_Price])</f>
        <v>14.5</v>
      </c>
      <c r="J32" s="2">
        <f>_xlfn.XLOOKUP(Fact_Transactions[[#This Row],[Product_SKU]], Dim_Products[Product_SKU], Dim_Products[Unit_Cost])</f>
        <v>4.2</v>
      </c>
      <c r="K32" s="3" cm="1">
        <f t="array" ref="K32">_xlfn.SWITCH(Fact_Transactions[[#This Row],[Discount_Code]], "WELCOME20", 0.2, "B2B15", 0.15, "SUMMER10", 0.1, 0)</f>
        <v>0.1</v>
      </c>
      <c r="L32" s="2">
        <f>Fact_Transactions[[#This Row],[Quantity_Sold]] * Fact_Transactions[[#This Row],[Base Price]] * (1 - Fact_Transactions[[#This Row],[Discount_Pct]])</f>
        <v>26.1</v>
      </c>
      <c r="M32" s="2">
        <f>Fact_Transactions[[#This Row],[Quantity_Sold]] * Fact_Transactions[[#This Row],[Unit_Cost]]</f>
        <v>8.4</v>
      </c>
      <c r="N32" s="2">
        <f>Fact_Transactions[[#This Row],[Net_Revenue]] - Fact_Transactions[[#This Row],[Total_Cost]]</f>
        <v>17.700000000000003</v>
      </c>
      <c r="O32" s="3">
        <f>IFERROR(Fact_Transactions[[#This Row],[Gross_Profit]] / Fact_Transactions[[#This Row],[Net_Revenue]], 0)</f>
        <v>0.67816091954022995</v>
      </c>
    </row>
    <row r="33" spans="1:15" x14ac:dyDescent="0.35">
      <c r="A33" t="s">
        <v>114</v>
      </c>
      <c r="B33" s="1">
        <v>46229</v>
      </c>
      <c r="C33" t="s">
        <v>115</v>
      </c>
      <c r="D33" t="s">
        <v>50</v>
      </c>
      <c r="E33" t="s">
        <v>63</v>
      </c>
      <c r="F33">
        <v>3</v>
      </c>
      <c r="H33" t="str">
        <f>_xlfn.XLOOKUP(Fact_Transactions[[#This Row],[Product_SKU]], Dim_Products[Product_SKU], Dim_Products[Category])</f>
        <v>Pantry</v>
      </c>
      <c r="I33" s="2">
        <f>_xlfn.XLOOKUP(Fact_Transactions[[#This Row],[Product_SKU]], Dim_Products[Product_SKU], Dim_Products[Base_Unit_Price])</f>
        <v>4.5</v>
      </c>
      <c r="J33" s="2">
        <f>_xlfn.XLOOKUP(Fact_Transactions[[#This Row],[Product_SKU]], Dim_Products[Product_SKU], Dim_Products[Unit_Cost])</f>
        <v>1.8</v>
      </c>
      <c r="K33" s="3" cm="1">
        <f t="array" ref="K33">_xlfn.SWITCH(Fact_Transactions[[#This Row],[Discount_Code]], "WELCOME20", 0.2, "B2B15", 0.15, "SUMMER10", 0.1, 0)</f>
        <v>0</v>
      </c>
      <c r="L33" s="2">
        <f>Fact_Transactions[[#This Row],[Quantity_Sold]] * Fact_Transactions[[#This Row],[Base Price]] * (1 - Fact_Transactions[[#This Row],[Discount_Pct]])</f>
        <v>13.5</v>
      </c>
      <c r="M33" s="2">
        <f>Fact_Transactions[[#This Row],[Quantity_Sold]] * Fact_Transactions[[#This Row],[Unit_Cost]]</f>
        <v>5.4</v>
      </c>
      <c r="N33" s="2">
        <f>Fact_Transactions[[#This Row],[Net_Revenue]] - Fact_Transactions[[#This Row],[Total_Cost]]</f>
        <v>8.1</v>
      </c>
      <c r="O33" s="3">
        <f>IFERROR(Fact_Transactions[[#This Row],[Gross_Profit]] / Fact_Transactions[[#This Row],[Net_Revenue]], 0)</f>
        <v>0.6</v>
      </c>
    </row>
    <row r="34" spans="1:15" x14ac:dyDescent="0.35">
      <c r="A34" t="s">
        <v>116</v>
      </c>
      <c r="B34" s="1">
        <v>46230</v>
      </c>
      <c r="C34" t="s">
        <v>65</v>
      </c>
      <c r="D34" t="s">
        <v>66</v>
      </c>
      <c r="E34" t="s">
        <v>75</v>
      </c>
      <c r="F34">
        <v>25</v>
      </c>
      <c r="G34" t="s">
        <v>67</v>
      </c>
      <c r="H34" t="str">
        <f>_xlfn.XLOOKUP(Fact_Transactions[[#This Row],[Product_SKU]], Dim_Products[Product_SKU], Dim_Products[Category])</f>
        <v>Coffee Beans</v>
      </c>
      <c r="I34" s="2">
        <f>_xlfn.XLOOKUP(Fact_Transactions[[#This Row],[Product_SKU]], Dim_Products[Product_SKU], Dim_Products[Base_Unit_Price])</f>
        <v>13.5</v>
      </c>
      <c r="J34" s="2">
        <f>_xlfn.XLOOKUP(Fact_Transactions[[#This Row],[Product_SKU]], Dim_Products[Product_SKU], Dim_Products[Unit_Cost])</f>
        <v>4</v>
      </c>
      <c r="K34" s="3" cm="1">
        <f t="array" ref="K34">_xlfn.SWITCH(Fact_Transactions[[#This Row],[Discount_Code]], "WELCOME20", 0.2, "B2B15", 0.15, "SUMMER10", 0.1, 0)</f>
        <v>0.15</v>
      </c>
      <c r="L34" s="2">
        <f>Fact_Transactions[[#This Row],[Quantity_Sold]] * Fact_Transactions[[#This Row],[Base Price]] * (1 - Fact_Transactions[[#This Row],[Discount_Pct]])</f>
        <v>286.875</v>
      </c>
      <c r="M34" s="2">
        <f>Fact_Transactions[[#This Row],[Quantity_Sold]] * Fact_Transactions[[#This Row],[Unit_Cost]]</f>
        <v>100</v>
      </c>
      <c r="N34" s="2">
        <f>Fact_Transactions[[#This Row],[Net_Revenue]] - Fact_Transactions[[#This Row],[Total_Cost]]</f>
        <v>186.875</v>
      </c>
      <c r="O34" s="3">
        <f>IFERROR(Fact_Transactions[[#This Row],[Gross_Profit]] / Fact_Transactions[[#This Row],[Net_Revenue]], 0)</f>
        <v>0.65141612200435728</v>
      </c>
    </row>
    <row r="35" spans="1:15" x14ac:dyDescent="0.35">
      <c r="A35" t="s">
        <v>117</v>
      </c>
      <c r="B35" s="1">
        <v>46231</v>
      </c>
      <c r="C35" t="s">
        <v>118</v>
      </c>
      <c r="D35" t="s">
        <v>58</v>
      </c>
      <c r="E35" t="s">
        <v>82</v>
      </c>
      <c r="F35">
        <v>2</v>
      </c>
      <c r="G35" t="s">
        <v>55</v>
      </c>
      <c r="H35" t="str">
        <f>_xlfn.XLOOKUP(Fact_Transactions[[#This Row],[Product_SKU]], Dim_Products[Product_SKU], Dim_Products[Category])</f>
        <v>Equipment</v>
      </c>
      <c r="I35" s="2">
        <f>_xlfn.XLOOKUP(Fact_Transactions[[#This Row],[Product_SKU]], Dim_Products[Product_SKU], Dim_Products[Base_Unit_Price])</f>
        <v>20</v>
      </c>
      <c r="J35" s="2">
        <f>_xlfn.XLOOKUP(Fact_Transactions[[#This Row],[Product_SKU]], Dim_Products[Product_SKU], Dim_Products[Unit_Cost])</f>
        <v>8</v>
      </c>
      <c r="K35" s="3" cm="1">
        <f t="array" ref="K35">_xlfn.SWITCH(Fact_Transactions[[#This Row],[Discount_Code]], "WELCOME20", 0.2, "B2B15", 0.15, "SUMMER10", 0.1, 0)</f>
        <v>0.2</v>
      </c>
      <c r="L35" s="2">
        <f>Fact_Transactions[[#This Row],[Quantity_Sold]] * Fact_Transactions[[#This Row],[Base Price]] * (1 - Fact_Transactions[[#This Row],[Discount_Pct]])</f>
        <v>32</v>
      </c>
      <c r="M35" s="2">
        <f>Fact_Transactions[[#This Row],[Quantity_Sold]] * Fact_Transactions[[#This Row],[Unit_Cost]]</f>
        <v>16</v>
      </c>
      <c r="N35" s="2">
        <f>Fact_Transactions[[#This Row],[Net_Revenue]] - Fact_Transactions[[#This Row],[Total_Cost]]</f>
        <v>16</v>
      </c>
      <c r="O35" s="3">
        <f>IFERROR(Fact_Transactions[[#This Row],[Gross_Profit]] / Fact_Transactions[[#This Row],[Net_Revenue]], 0)</f>
        <v>0.5</v>
      </c>
    </row>
    <row r="36" spans="1:15" x14ac:dyDescent="0.35">
      <c r="A36" t="s">
        <v>119</v>
      </c>
      <c r="B36" s="1">
        <v>46232</v>
      </c>
      <c r="C36" t="s">
        <v>53</v>
      </c>
      <c r="D36" t="s">
        <v>50</v>
      </c>
      <c r="E36" t="s">
        <v>69</v>
      </c>
      <c r="F36">
        <v>1</v>
      </c>
      <c r="H36" t="str">
        <f>_xlfn.XLOOKUP(Fact_Transactions[[#This Row],[Product_SKU]], Dim_Products[Product_SKU], Dim_Products[Category])</f>
        <v>Merchandise</v>
      </c>
      <c r="I36" s="2">
        <f>_xlfn.XLOOKUP(Fact_Transactions[[#This Row],[Product_SKU]], Dim_Products[Product_SKU], Dim_Products[Base_Unit_Price])</f>
        <v>12</v>
      </c>
      <c r="J36" s="2">
        <f>_xlfn.XLOOKUP(Fact_Transactions[[#This Row],[Product_SKU]], Dim_Products[Product_SKU], Dim_Products[Unit_Cost])</f>
        <v>3.2</v>
      </c>
      <c r="K36" s="3" cm="1">
        <f t="array" ref="K36">_xlfn.SWITCH(Fact_Transactions[[#This Row],[Discount_Code]], "WELCOME20", 0.2, "B2B15", 0.15, "SUMMER10", 0.1, 0)</f>
        <v>0</v>
      </c>
      <c r="L36" s="2">
        <f>Fact_Transactions[[#This Row],[Quantity_Sold]] * Fact_Transactions[[#This Row],[Base Price]] * (1 - Fact_Transactions[[#This Row],[Discount_Pct]])</f>
        <v>12</v>
      </c>
      <c r="M36" s="2">
        <f>Fact_Transactions[[#This Row],[Quantity_Sold]] * Fact_Transactions[[#This Row],[Unit_Cost]]</f>
        <v>3.2</v>
      </c>
      <c r="N36" s="2">
        <f>Fact_Transactions[[#This Row],[Net_Revenue]] - Fact_Transactions[[#This Row],[Total_Cost]]</f>
        <v>8.8000000000000007</v>
      </c>
      <c r="O36" s="3">
        <f>IFERROR(Fact_Transactions[[#This Row],[Gross_Profit]] / Fact_Transactions[[#This Row],[Net_Revenue]], 0)</f>
        <v>0.73333333333333339</v>
      </c>
    </row>
    <row r="37" spans="1:15" x14ac:dyDescent="0.35">
      <c r="A37" t="s">
        <v>120</v>
      </c>
      <c r="B37" s="1">
        <v>46233</v>
      </c>
      <c r="C37" t="s">
        <v>121</v>
      </c>
      <c r="D37" t="s">
        <v>58</v>
      </c>
      <c r="E37" t="s">
        <v>79</v>
      </c>
      <c r="F37">
        <v>2</v>
      </c>
      <c r="H37" t="str">
        <f>_xlfn.XLOOKUP(Fact_Transactions[[#This Row],[Product_SKU]], Dim_Products[Product_SKU], Dim_Products[Category])</f>
        <v>Pantry</v>
      </c>
      <c r="I37" s="2">
        <f>_xlfn.XLOOKUP(Fact_Transactions[[#This Row],[Product_SKU]], Dim_Products[Product_SKU], Dim_Products[Base_Unit_Price])</f>
        <v>7</v>
      </c>
      <c r="J37" s="2">
        <f>_xlfn.XLOOKUP(Fact_Transactions[[#This Row],[Product_SKU]], Dim_Products[Product_SKU], Dim_Products[Unit_Cost])</f>
        <v>3.1</v>
      </c>
      <c r="K37" s="3" cm="1">
        <f t="array" ref="K37">_xlfn.SWITCH(Fact_Transactions[[#This Row],[Discount_Code]], "WELCOME20", 0.2, "B2B15", 0.15, "SUMMER10", 0.1, 0)</f>
        <v>0</v>
      </c>
      <c r="L37" s="2">
        <f>Fact_Transactions[[#This Row],[Quantity_Sold]] * Fact_Transactions[[#This Row],[Base Price]] * (1 - Fact_Transactions[[#This Row],[Discount_Pct]])</f>
        <v>14</v>
      </c>
      <c r="M37" s="2">
        <f>Fact_Transactions[[#This Row],[Quantity_Sold]] * Fact_Transactions[[#This Row],[Unit_Cost]]</f>
        <v>6.2</v>
      </c>
      <c r="N37" s="2">
        <f>Fact_Transactions[[#This Row],[Net_Revenue]] - Fact_Transactions[[#This Row],[Total_Cost]]</f>
        <v>7.8</v>
      </c>
      <c r="O37" s="3">
        <f>IFERROR(Fact_Transactions[[#This Row],[Gross_Profit]] / Fact_Transactions[[#This Row],[Net_Revenue]], 0)</f>
        <v>0.55714285714285716</v>
      </c>
    </row>
    <row r="38" spans="1:15" x14ac:dyDescent="0.35">
      <c r="A38" t="s">
        <v>122</v>
      </c>
      <c r="B38" s="1">
        <v>46234</v>
      </c>
      <c r="C38" t="s">
        <v>57</v>
      </c>
      <c r="D38" t="s">
        <v>58</v>
      </c>
      <c r="E38" t="s">
        <v>59</v>
      </c>
      <c r="F38">
        <v>1</v>
      </c>
      <c r="G38" t="s">
        <v>60</v>
      </c>
      <c r="H38" t="str">
        <f>_xlfn.XLOOKUP(Fact_Transactions[[#This Row],[Product_SKU]], Dim_Products[Product_SKU], Dim_Products[Category])</f>
        <v>Coffee Beans</v>
      </c>
      <c r="I38" s="2">
        <f>_xlfn.XLOOKUP(Fact_Transactions[[#This Row],[Product_SKU]], Dim_Products[Product_SKU], Dim_Products[Base_Unit_Price])</f>
        <v>16</v>
      </c>
      <c r="J38" s="2">
        <f>_xlfn.XLOOKUP(Fact_Transactions[[#This Row],[Product_SKU]], Dim_Products[Product_SKU], Dim_Products[Unit_Cost])</f>
        <v>5.0999999999999996</v>
      </c>
      <c r="K38" s="3" cm="1">
        <f t="array" ref="K38">_xlfn.SWITCH(Fact_Transactions[[#This Row],[Discount_Code]], "WELCOME20", 0.2, "B2B15", 0.15, "SUMMER10", 0.1, 0)</f>
        <v>0.1</v>
      </c>
      <c r="L38" s="2">
        <f>Fact_Transactions[[#This Row],[Quantity_Sold]] * Fact_Transactions[[#This Row],[Base Price]] * (1 - Fact_Transactions[[#This Row],[Discount_Pct]])</f>
        <v>14.4</v>
      </c>
      <c r="M38" s="2">
        <f>Fact_Transactions[[#This Row],[Quantity_Sold]] * Fact_Transactions[[#This Row],[Unit_Cost]]</f>
        <v>5.0999999999999996</v>
      </c>
      <c r="N38" s="2">
        <f>Fact_Transactions[[#This Row],[Net_Revenue]] - Fact_Transactions[[#This Row],[Total_Cost]]</f>
        <v>9.3000000000000007</v>
      </c>
      <c r="O38" s="3">
        <f>IFERROR(Fact_Transactions[[#This Row],[Gross_Profit]] / Fact_Transactions[[#This Row],[Net_Revenue]], 0)</f>
        <v>0.64583333333333337</v>
      </c>
    </row>
    <row r="39" spans="1:15" x14ac:dyDescent="0.35">
      <c r="A39" t="s">
        <v>123</v>
      </c>
      <c r="B39" s="1">
        <v>46235</v>
      </c>
      <c r="C39" t="s">
        <v>124</v>
      </c>
      <c r="D39" t="s">
        <v>50</v>
      </c>
      <c r="E39" t="s">
        <v>51</v>
      </c>
      <c r="F39">
        <v>2</v>
      </c>
      <c r="H39" t="str">
        <f>_xlfn.XLOOKUP(Fact_Transactions[[#This Row],[Product_SKU]], Dim_Products[Product_SKU], Dim_Products[Category])</f>
        <v>Coffee Beans</v>
      </c>
      <c r="I39" s="2">
        <f>_xlfn.XLOOKUP(Fact_Transactions[[#This Row],[Product_SKU]], Dim_Products[Product_SKU], Dim_Products[Base_Unit_Price])</f>
        <v>14.5</v>
      </c>
      <c r="J39" s="2">
        <f>_xlfn.XLOOKUP(Fact_Transactions[[#This Row],[Product_SKU]], Dim_Products[Product_SKU], Dim_Products[Unit_Cost])</f>
        <v>4.2</v>
      </c>
      <c r="K39" s="3" cm="1">
        <f t="array" ref="K39">_xlfn.SWITCH(Fact_Transactions[[#This Row],[Discount_Code]], "WELCOME20", 0.2, "B2B15", 0.15, "SUMMER10", 0.1, 0)</f>
        <v>0</v>
      </c>
      <c r="L39" s="2">
        <f>Fact_Transactions[[#This Row],[Quantity_Sold]] * Fact_Transactions[[#This Row],[Base Price]] * (1 - Fact_Transactions[[#This Row],[Discount_Pct]])</f>
        <v>29</v>
      </c>
      <c r="M39" s="2">
        <f>Fact_Transactions[[#This Row],[Quantity_Sold]] * Fact_Transactions[[#This Row],[Unit_Cost]]</f>
        <v>8.4</v>
      </c>
      <c r="N39" s="2">
        <f>Fact_Transactions[[#This Row],[Net_Revenue]] - Fact_Transactions[[#This Row],[Total_Cost]]</f>
        <v>20.6</v>
      </c>
      <c r="O39" s="3">
        <f>IFERROR(Fact_Transactions[[#This Row],[Gross_Profit]] / Fact_Transactions[[#This Row],[Net_Revenue]], 0)</f>
        <v>0.71034482758620698</v>
      </c>
    </row>
    <row r="40" spans="1:15" x14ac:dyDescent="0.35">
      <c r="A40" t="s">
        <v>125</v>
      </c>
      <c r="B40" s="1">
        <v>46236</v>
      </c>
      <c r="C40" t="s">
        <v>71</v>
      </c>
      <c r="D40" t="s">
        <v>58</v>
      </c>
      <c r="E40" t="s">
        <v>54</v>
      </c>
      <c r="F40">
        <v>1</v>
      </c>
      <c r="G40" t="s">
        <v>55</v>
      </c>
      <c r="H40" t="str">
        <f>_xlfn.XLOOKUP(Fact_Transactions[[#This Row],[Product_SKU]], Dim_Products[Product_SKU], Dim_Products[Category])</f>
        <v>Equipment</v>
      </c>
      <c r="I40" s="2">
        <f>_xlfn.XLOOKUP(Fact_Transactions[[#This Row],[Product_SKU]], Dim_Products[Product_SKU], Dim_Products[Base_Unit_Price])</f>
        <v>28</v>
      </c>
      <c r="J40" s="2">
        <f>_xlfn.XLOOKUP(Fact_Transactions[[#This Row],[Product_SKU]], Dim_Products[Product_SKU], Dim_Products[Unit_Cost])</f>
        <v>12.5</v>
      </c>
      <c r="K40" s="3" cm="1">
        <f t="array" ref="K40">_xlfn.SWITCH(Fact_Transactions[[#This Row],[Discount_Code]], "WELCOME20", 0.2, "B2B15", 0.15, "SUMMER10", 0.1, 0)</f>
        <v>0.2</v>
      </c>
      <c r="L40" s="2">
        <f>Fact_Transactions[[#This Row],[Quantity_Sold]] * Fact_Transactions[[#This Row],[Base Price]] * (1 - Fact_Transactions[[#This Row],[Discount_Pct]])</f>
        <v>22.400000000000002</v>
      </c>
      <c r="M40" s="2">
        <f>Fact_Transactions[[#This Row],[Quantity_Sold]] * Fact_Transactions[[#This Row],[Unit_Cost]]</f>
        <v>12.5</v>
      </c>
      <c r="N40" s="2">
        <f>Fact_Transactions[[#This Row],[Net_Revenue]] - Fact_Transactions[[#This Row],[Total_Cost]]</f>
        <v>9.9000000000000021</v>
      </c>
      <c r="O40" s="3">
        <f>IFERROR(Fact_Transactions[[#This Row],[Gross_Profit]] / Fact_Transactions[[#This Row],[Net_Revenue]], 0)</f>
        <v>0.44196428571428575</v>
      </c>
    </row>
    <row r="41" spans="1:15" x14ac:dyDescent="0.35">
      <c r="A41" t="s">
        <v>126</v>
      </c>
      <c r="B41" s="1">
        <v>46237</v>
      </c>
      <c r="C41" t="s">
        <v>65</v>
      </c>
      <c r="D41" t="s">
        <v>66</v>
      </c>
      <c r="E41" t="s">
        <v>79</v>
      </c>
      <c r="F41">
        <v>10</v>
      </c>
      <c r="G41" t="s">
        <v>67</v>
      </c>
      <c r="H41" t="str">
        <f>_xlfn.XLOOKUP(Fact_Transactions[[#This Row],[Product_SKU]], Dim_Products[Product_SKU], Dim_Products[Category])</f>
        <v>Pantry</v>
      </c>
      <c r="I41" s="2">
        <f>_xlfn.XLOOKUP(Fact_Transactions[[#This Row],[Product_SKU]], Dim_Products[Product_SKU], Dim_Products[Base_Unit_Price])</f>
        <v>7</v>
      </c>
      <c r="J41" s="2">
        <f>_xlfn.XLOOKUP(Fact_Transactions[[#This Row],[Product_SKU]], Dim_Products[Product_SKU], Dim_Products[Unit_Cost])</f>
        <v>3.1</v>
      </c>
      <c r="K41" s="3" cm="1">
        <f t="array" ref="K41">_xlfn.SWITCH(Fact_Transactions[[#This Row],[Discount_Code]], "WELCOME20", 0.2, "B2B15", 0.15, "SUMMER10", 0.1, 0)</f>
        <v>0.15</v>
      </c>
      <c r="L41" s="2">
        <f>Fact_Transactions[[#This Row],[Quantity_Sold]] * Fact_Transactions[[#This Row],[Base Price]] * (1 - Fact_Transactions[[#This Row],[Discount_Pct]])</f>
        <v>59.5</v>
      </c>
      <c r="M41" s="2">
        <f>Fact_Transactions[[#This Row],[Quantity_Sold]] * Fact_Transactions[[#This Row],[Unit_Cost]]</f>
        <v>31</v>
      </c>
      <c r="N41" s="2">
        <f>Fact_Transactions[[#This Row],[Net_Revenue]] - Fact_Transactions[[#This Row],[Total_Cost]]</f>
        <v>28.5</v>
      </c>
      <c r="O41" s="3">
        <f>IFERROR(Fact_Transactions[[#This Row],[Gross_Profit]] / Fact_Transactions[[#This Row],[Net_Revenue]], 0)</f>
        <v>0.47899159663865548</v>
      </c>
    </row>
  </sheetData>
  <dataConsolidate/>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6BC8-01DB-4C3A-8FA1-AAFC8ED6DF6B}">
  <dimension ref="A1:A42"/>
  <sheetViews>
    <sheetView workbookViewId="0">
      <selection sqref="A1:A42"/>
    </sheetView>
  </sheetViews>
  <sheetFormatPr defaultRowHeight="14.5" x14ac:dyDescent="0.35"/>
  <cols>
    <col min="1" max="1" width="7.453125"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A91C-F05F-4831-A502-9A3E8157F90F}">
  <dimension ref="A1:E11"/>
  <sheetViews>
    <sheetView workbookViewId="0">
      <selection activeCell="D6" sqref="D6"/>
    </sheetView>
  </sheetViews>
  <sheetFormatPr defaultRowHeight="14.5" x14ac:dyDescent="0.35"/>
  <cols>
    <col min="1" max="1" width="13.7265625" customWidth="1"/>
    <col min="2" max="2" width="15.36328125" customWidth="1"/>
    <col min="3" max="3" width="10.26953125" customWidth="1"/>
    <col min="4" max="4" width="11.08984375" customWidth="1"/>
    <col min="5" max="5" width="16.36328125" customWidth="1"/>
  </cols>
  <sheetData>
    <row r="1" spans="1:5" x14ac:dyDescent="0.35">
      <c r="A1" t="s">
        <v>45</v>
      </c>
      <c r="B1" t="s">
        <v>127</v>
      </c>
      <c r="C1" t="s">
        <v>128</v>
      </c>
      <c r="D1" t="s">
        <v>129</v>
      </c>
      <c r="E1" t="s">
        <v>130</v>
      </c>
    </row>
    <row r="2" spans="1:5" x14ac:dyDescent="0.35">
      <c r="A2" t="s">
        <v>51</v>
      </c>
      <c r="B2" t="s">
        <v>131</v>
      </c>
      <c r="C2" t="s">
        <v>132</v>
      </c>
      <c r="D2">
        <v>4.2</v>
      </c>
      <c r="E2">
        <v>14.5</v>
      </c>
    </row>
    <row r="3" spans="1:5" x14ac:dyDescent="0.35">
      <c r="A3" t="s">
        <v>59</v>
      </c>
      <c r="B3" t="s">
        <v>133</v>
      </c>
      <c r="C3" t="s">
        <v>132</v>
      </c>
      <c r="D3">
        <v>5.0999999999999996</v>
      </c>
      <c r="E3">
        <v>16</v>
      </c>
    </row>
    <row r="4" spans="1:5" x14ac:dyDescent="0.35">
      <c r="A4" t="s">
        <v>75</v>
      </c>
      <c r="B4" t="s">
        <v>134</v>
      </c>
      <c r="C4" t="s">
        <v>132</v>
      </c>
      <c r="D4">
        <v>4</v>
      </c>
      <c r="E4">
        <v>13.5</v>
      </c>
    </row>
    <row r="5" spans="1:5" x14ac:dyDescent="0.35">
      <c r="A5" t="s">
        <v>54</v>
      </c>
      <c r="B5" t="s">
        <v>135</v>
      </c>
      <c r="C5" t="s">
        <v>136</v>
      </c>
      <c r="D5">
        <v>12.5</v>
      </c>
      <c r="E5">
        <v>28</v>
      </c>
    </row>
    <row r="6" spans="1:5" x14ac:dyDescent="0.35">
      <c r="A6" t="s">
        <v>72</v>
      </c>
      <c r="B6" t="s">
        <v>137</v>
      </c>
      <c r="C6" t="s">
        <v>136</v>
      </c>
      <c r="D6">
        <v>22</v>
      </c>
      <c r="E6">
        <v>45</v>
      </c>
    </row>
    <row r="7" spans="1:5" x14ac:dyDescent="0.35">
      <c r="A7" t="s">
        <v>82</v>
      </c>
      <c r="B7" t="s">
        <v>138</v>
      </c>
      <c r="C7" t="s">
        <v>136</v>
      </c>
      <c r="D7">
        <v>8</v>
      </c>
      <c r="E7">
        <v>20</v>
      </c>
    </row>
    <row r="8" spans="1:5" x14ac:dyDescent="0.35">
      <c r="A8" t="s">
        <v>69</v>
      </c>
      <c r="B8" t="s">
        <v>139</v>
      </c>
      <c r="C8" t="s">
        <v>140</v>
      </c>
      <c r="D8">
        <v>3.2</v>
      </c>
      <c r="E8">
        <v>12</v>
      </c>
    </row>
    <row r="9" spans="1:5" x14ac:dyDescent="0.35">
      <c r="A9" t="s">
        <v>86</v>
      </c>
      <c r="B9" t="s">
        <v>141</v>
      </c>
      <c r="C9" t="s">
        <v>140</v>
      </c>
      <c r="D9">
        <v>2.5</v>
      </c>
      <c r="E9">
        <v>8.5</v>
      </c>
    </row>
    <row r="10" spans="1:5" x14ac:dyDescent="0.35">
      <c r="A10" t="s">
        <v>63</v>
      </c>
      <c r="B10" t="s">
        <v>142</v>
      </c>
      <c r="C10" t="s">
        <v>143</v>
      </c>
      <c r="D10">
        <v>1.8</v>
      </c>
      <c r="E10">
        <v>4.5</v>
      </c>
    </row>
    <row r="11" spans="1:5" x14ac:dyDescent="0.35">
      <c r="A11" t="s">
        <v>79</v>
      </c>
      <c r="B11" t="s">
        <v>144</v>
      </c>
      <c r="C11" t="s">
        <v>143</v>
      </c>
      <c r="D11">
        <v>3.1</v>
      </c>
      <c r="E11">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Summary_Analysis</vt:lpstr>
      <vt:lpstr>Transactions_Clean</vt:lpstr>
      <vt:lpstr>Transactions_Raw</vt:lpstr>
      <vt:lpstr>Product_Catalog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Obi</dc:creator>
  <cp:lastModifiedBy>Maurice Obi</cp:lastModifiedBy>
  <dcterms:created xsi:type="dcterms:W3CDTF">2026-10-15T02:24:12Z</dcterms:created>
  <dcterms:modified xsi:type="dcterms:W3CDTF">2026-10-22T04:09:38Z</dcterms:modified>
</cp:coreProperties>
</file>